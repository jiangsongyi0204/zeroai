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ang\Desktop\蒋宋义\github\zeroai\AI010.AlphaZero入门系列\"/>
    </mc:Choice>
  </mc:AlternateContent>
  <xr:revisionPtr revIDLastSave="0" documentId="13_ncr:1_{FCD2EDB4-66EF-46FE-AB65-4F2D825F310A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00.成品展示" sheetId="24" r:id="rId1"/>
  </sheets>
  <functionGroups builtInGroupCount="19"/>
  <definedNames>
    <definedName name="_xleta.WRAPROW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0" i="24" l="1" a="1"/>
  <c r="J16" i="24" a="1"/>
  <c r="R12" i="24" a="1"/>
  <c r="R68" i="24" a="1"/>
  <c r="J52" i="24" a="1"/>
  <c r="J36" i="24" a="1"/>
  <c r="J48" i="24" a="1"/>
  <c r="J40" i="24" a="1"/>
  <c r="J56" i="24" a="1"/>
  <c r="J32" i="24" a="1"/>
  <c r="J20" i="24" a="1"/>
  <c r="J28" i="24" a="1"/>
  <c r="R56" i="24" a="1"/>
  <c r="R52" i="24" a="1"/>
  <c r="R48" i="24" a="1"/>
  <c r="R40" i="24" a="1"/>
  <c r="R36" i="24" a="1"/>
  <c r="R32" i="24" a="1"/>
  <c r="J68" i="24" a="1"/>
  <c r="J12" i="24" a="1"/>
  <c r="J44" i="24" a="1"/>
  <c r="J24" i="24" a="1"/>
  <c r="J64" i="24" a="1"/>
  <c r="J60" i="24" a="1"/>
  <c r="R28" i="24" a="1"/>
  <c r="R24" i="24" a="1"/>
  <c r="R16" i="24" a="1"/>
  <c r="R64" i="24" a="1"/>
  <c r="R60" i="24" a="1"/>
  <c r="R44" i="24" a="1"/>
  <c r="Y68" i="24" l="1"/>
  <c r="AC68" i="24" s="1"/>
  <c r="Z70" i="24"/>
  <c r="AD70" i="24" s="1"/>
  <c r="Y70" i="24"/>
  <c r="AC70" i="24" s="1"/>
  <c r="J68" i="24"/>
  <c r="X70" i="24"/>
  <c r="AB70" i="24" s="1"/>
  <c r="Z69" i="24"/>
  <c r="AD69" i="24" s="1"/>
  <c r="Y69" i="24"/>
  <c r="AC69" i="24" s="1"/>
  <c r="X69" i="24"/>
  <c r="AB69" i="24" s="1"/>
  <c r="Z68" i="24"/>
  <c r="AD68" i="24" s="1"/>
  <c r="R68" i="24"/>
  <c r="Y64" i="24"/>
  <c r="AC64" i="24" s="1"/>
  <c r="Z66" i="24"/>
  <c r="AD66" i="24" s="1"/>
  <c r="Y66" i="24"/>
  <c r="AC66" i="24" s="1"/>
  <c r="J64" i="24"/>
  <c r="X66" i="24"/>
  <c r="AB66" i="24" s="1"/>
  <c r="Z65" i="24"/>
  <c r="AD65" i="24" s="1"/>
  <c r="Y65" i="24"/>
  <c r="AC65" i="24" s="1"/>
  <c r="X65" i="24"/>
  <c r="AB65" i="24" s="1"/>
  <c r="Z64" i="24"/>
  <c r="AD64" i="24" s="1"/>
  <c r="R64" i="24"/>
  <c r="Z62" i="24"/>
  <c r="AD62" i="24" s="1"/>
  <c r="Y62" i="24"/>
  <c r="AC62" i="24" s="1"/>
  <c r="J60" i="24"/>
  <c r="X62" i="24"/>
  <c r="AB62" i="24" s="1"/>
  <c r="Z61" i="24"/>
  <c r="AD61" i="24" s="1"/>
  <c r="Y61" i="24"/>
  <c r="AC61" i="24" s="1"/>
  <c r="X61" i="24"/>
  <c r="AB61" i="24" s="1"/>
  <c r="Z60" i="24"/>
  <c r="AD60" i="24" s="1"/>
  <c r="Y60" i="24"/>
  <c r="AC60" i="24" s="1"/>
  <c r="R60" i="24"/>
  <c r="Z58" i="24"/>
  <c r="AD58" i="24" s="1"/>
  <c r="Y58" i="24"/>
  <c r="AC58" i="24" s="1"/>
  <c r="J56" i="24"/>
  <c r="X58" i="24"/>
  <c r="AB58" i="24" s="1"/>
  <c r="Z57" i="24"/>
  <c r="AD57" i="24" s="1"/>
  <c r="Y57" i="24"/>
  <c r="AC57" i="24" s="1"/>
  <c r="X57" i="24"/>
  <c r="AB57" i="24" s="1"/>
  <c r="Z56" i="24"/>
  <c r="AD56" i="24" s="1"/>
  <c r="Y56" i="24"/>
  <c r="AC56" i="24" s="1"/>
  <c r="R56" i="24"/>
  <c r="Y52" i="24"/>
  <c r="AC52" i="24" s="1"/>
  <c r="Z52" i="24"/>
  <c r="AD52" i="24" s="1"/>
  <c r="Z54" i="24"/>
  <c r="AD54" i="24" s="1"/>
  <c r="Y54" i="24"/>
  <c r="AC54" i="24" s="1"/>
  <c r="J52" i="24"/>
  <c r="X54" i="24"/>
  <c r="AB54" i="24" s="1"/>
  <c r="Z53" i="24"/>
  <c r="AD53" i="24" s="1"/>
  <c r="Y53" i="24"/>
  <c r="AC53" i="24" s="1"/>
  <c r="X53" i="24"/>
  <c r="AB53" i="24" s="1"/>
  <c r="R52" i="24"/>
  <c r="Y49" i="24"/>
  <c r="AC49" i="24" s="1"/>
  <c r="X49" i="24"/>
  <c r="AB49" i="24" s="1"/>
  <c r="Z48" i="24"/>
  <c r="AD48" i="24" s="1"/>
  <c r="Y48" i="24"/>
  <c r="AC48" i="24" s="1"/>
  <c r="Z50" i="24"/>
  <c r="AD50" i="24" s="1"/>
  <c r="Y50" i="24"/>
  <c r="AC50" i="24" s="1"/>
  <c r="J48" i="24"/>
  <c r="X50" i="24"/>
  <c r="AB50" i="24" s="1"/>
  <c r="Z49" i="24"/>
  <c r="AD49" i="24" s="1"/>
  <c r="R48" i="24"/>
  <c r="J16" i="24"/>
  <c r="Y44" i="24"/>
  <c r="AC44" i="24" s="1"/>
  <c r="Z46" i="24"/>
  <c r="AD46" i="24" s="1"/>
  <c r="Y46" i="24"/>
  <c r="AC46" i="24" s="1"/>
  <c r="J44" i="24"/>
  <c r="X46" i="24"/>
  <c r="AB46" i="24" s="1"/>
  <c r="Z45" i="24"/>
  <c r="AD45" i="24" s="1"/>
  <c r="Y45" i="24"/>
  <c r="AC45" i="24" s="1"/>
  <c r="X45" i="24"/>
  <c r="AB45" i="24" s="1"/>
  <c r="Z44" i="24"/>
  <c r="AD44" i="24" s="1"/>
  <c r="R44" i="24"/>
  <c r="Y40" i="24"/>
  <c r="AC40" i="24" s="1"/>
  <c r="Z42" i="24"/>
  <c r="AD42" i="24" s="1"/>
  <c r="Y42" i="24"/>
  <c r="AC42" i="24" s="1"/>
  <c r="J40" i="24"/>
  <c r="X42" i="24"/>
  <c r="AB42" i="24" s="1"/>
  <c r="Z41" i="24"/>
  <c r="AD41" i="24" s="1"/>
  <c r="Y41" i="24"/>
  <c r="AC41" i="24" s="1"/>
  <c r="X41" i="24"/>
  <c r="AB41" i="24" s="1"/>
  <c r="Z40" i="24"/>
  <c r="AD40" i="24" s="1"/>
  <c r="R40" i="24"/>
  <c r="Z38" i="24"/>
  <c r="AD38" i="24" s="1"/>
  <c r="Y38" i="24"/>
  <c r="AC38" i="24" s="1"/>
  <c r="J36" i="24"/>
  <c r="X38" i="24"/>
  <c r="AB38" i="24" s="1"/>
  <c r="Z37" i="24"/>
  <c r="AD37" i="24" s="1"/>
  <c r="Y37" i="24"/>
  <c r="AC37" i="24" s="1"/>
  <c r="X37" i="24"/>
  <c r="AB37" i="24" s="1"/>
  <c r="Z36" i="24"/>
  <c r="AD36" i="24" s="1"/>
  <c r="Y36" i="24"/>
  <c r="AC36" i="24" s="1"/>
  <c r="R36" i="24"/>
  <c r="Z34" i="24"/>
  <c r="AD34" i="24" s="1"/>
  <c r="Y34" i="24"/>
  <c r="AC34" i="24" s="1"/>
  <c r="J32" i="24"/>
  <c r="X34" i="24"/>
  <c r="AB34" i="24" s="1"/>
  <c r="Z33" i="24"/>
  <c r="AD33" i="24" s="1"/>
  <c r="Y33" i="24"/>
  <c r="AC33" i="24" s="1"/>
  <c r="X33" i="24"/>
  <c r="AB33" i="24" s="1"/>
  <c r="Z32" i="24"/>
  <c r="AD32" i="24" s="1"/>
  <c r="Y32" i="24"/>
  <c r="AC32" i="24" s="1"/>
  <c r="R32" i="24"/>
  <c r="Z30" i="24"/>
  <c r="AD30" i="24" s="1"/>
  <c r="Y30" i="24"/>
  <c r="AC30" i="24" s="1"/>
  <c r="J28" i="24"/>
  <c r="X30" i="24"/>
  <c r="AB30" i="24" s="1"/>
  <c r="Z29" i="24"/>
  <c r="AD29" i="24" s="1"/>
  <c r="Y29" i="24"/>
  <c r="AC29" i="24" s="1"/>
  <c r="X29" i="24"/>
  <c r="AB29" i="24" s="1"/>
  <c r="Z28" i="24"/>
  <c r="AD28" i="24" s="1"/>
  <c r="Y28" i="24"/>
  <c r="AC28" i="24" s="1"/>
  <c r="R28" i="24"/>
  <c r="Y26" i="24"/>
  <c r="AC26" i="24" s="1"/>
  <c r="J24" i="24"/>
  <c r="X26" i="24"/>
  <c r="AB26" i="24" s="1"/>
  <c r="Z25" i="24"/>
  <c r="AD25" i="24" s="1"/>
  <c r="Y25" i="24"/>
  <c r="AC25" i="24" s="1"/>
  <c r="X25" i="24"/>
  <c r="AB25" i="24" s="1"/>
  <c r="Z24" i="24"/>
  <c r="AD24" i="24" s="1"/>
  <c r="Y24" i="24"/>
  <c r="AC24" i="24" s="1"/>
  <c r="Z26" i="24"/>
  <c r="AD26" i="24" s="1"/>
  <c r="R24" i="24"/>
  <c r="Y21" i="24"/>
  <c r="AC21" i="24" s="1"/>
  <c r="X21" i="24"/>
  <c r="AB21" i="24" s="1"/>
  <c r="Z20" i="24"/>
  <c r="AD20" i="24" s="1"/>
  <c r="Y20" i="24"/>
  <c r="AC20" i="24" s="1"/>
  <c r="Z22" i="24"/>
  <c r="AD22" i="24" s="1"/>
  <c r="Y22" i="24"/>
  <c r="AC22" i="24" s="1"/>
  <c r="J20" i="24"/>
  <c r="X22" i="24"/>
  <c r="AB22" i="24" s="1"/>
  <c r="Z21" i="24"/>
  <c r="AD21" i="24" s="1"/>
  <c r="R20" i="24"/>
  <c r="Y16" i="24"/>
  <c r="AC16" i="24" s="1"/>
  <c r="Z18" i="24"/>
  <c r="AD18" i="24" s="1"/>
  <c r="Y18" i="24"/>
  <c r="AC18" i="24" s="1"/>
  <c r="X18" i="24"/>
  <c r="AB18" i="24" s="1"/>
  <c r="Z17" i="24"/>
  <c r="AD17" i="24" s="1"/>
  <c r="Y17" i="24"/>
  <c r="AC17" i="24" s="1"/>
  <c r="X17" i="24"/>
  <c r="AB17" i="24" s="1"/>
  <c r="Z16" i="24"/>
  <c r="AD16" i="24" s="1"/>
  <c r="R16" i="24"/>
  <c r="R12" i="24"/>
  <c r="J12" i="24"/>
  <c r="Y12" i="24"/>
  <c r="AC12" i="24" s="1"/>
  <c r="Z14" i="24"/>
  <c r="AD14" i="24" s="1"/>
  <c r="Y14" i="24"/>
  <c r="AC14" i="24" s="1"/>
  <c r="X14" i="24"/>
  <c r="AB14" i="24" s="1"/>
  <c r="Z13" i="24"/>
  <c r="AD13" i="24" s="1"/>
  <c r="Y13" i="24"/>
  <c r="AC13" i="24" s="1"/>
  <c r="X13" i="24"/>
  <c r="AB13" i="24" s="1"/>
  <c r="Z12" i="24"/>
  <c r="AD12" i="24" s="1"/>
  <c r="R8" i="24" a="1"/>
  <c r="J8" i="24" a="1"/>
  <c r="X60" i="24" l="1"/>
  <c r="AB60" i="24" s="1"/>
  <c r="X68" i="24"/>
  <c r="AB68" i="24" s="1"/>
  <c r="X64" i="24"/>
  <c r="AB64" i="24" s="1"/>
  <c r="X56" i="24"/>
  <c r="AB56" i="24" s="1"/>
  <c r="X52" i="24"/>
  <c r="AB52" i="24" s="1"/>
  <c r="X48" i="24"/>
  <c r="AB48" i="24" s="1"/>
  <c r="X24" i="24"/>
  <c r="AB24" i="24" s="1"/>
  <c r="X44" i="24"/>
  <c r="AB44" i="24" s="1"/>
  <c r="X40" i="24"/>
  <c r="AB40" i="24" s="1"/>
  <c r="X36" i="24"/>
  <c r="AB36" i="24" s="1"/>
  <c r="X32" i="24"/>
  <c r="AB32" i="24" s="1"/>
  <c r="X28" i="24"/>
  <c r="AB28" i="24" s="1"/>
  <c r="X20" i="24"/>
  <c r="AB20" i="24" s="1"/>
  <c r="X16" i="24"/>
  <c r="AB16" i="24" s="1"/>
  <c r="X12" i="24"/>
  <c r="AB12" i="24" s="1"/>
  <c r="X9" i="24"/>
  <c r="AB9" i="24" s="1"/>
  <c r="Y9" i="24"/>
  <c r="AC9" i="24" s="1"/>
  <c r="Z9" i="24"/>
  <c r="AD9" i="24" s="1"/>
  <c r="Y10" i="24"/>
  <c r="AC10" i="24" s="1"/>
  <c r="Z10" i="24"/>
  <c r="AD10" i="24" s="1"/>
  <c r="Y8" i="24"/>
  <c r="AC8" i="24" s="1"/>
  <c r="Z8" i="24"/>
  <c r="AD8" i="24" s="1"/>
  <c r="X10" i="24"/>
  <c r="AB10" i="24" s="1"/>
  <c r="R8" i="24"/>
  <c r="J8" i="24"/>
  <c r="CP24" i="24" a="1"/>
  <c r="CJ44" i="24" a="1"/>
  <c r="AZ16" i="24" a="1"/>
  <c r="CP52" i="24" a="1"/>
  <c r="AZ52" i="24" a="1"/>
  <c r="AN28" i="24" a="1"/>
  <c r="AZ24" i="24" a="1"/>
  <c r="AT24" i="24" a="1"/>
  <c r="CJ16" i="24" a="1"/>
  <c r="CJ28" i="24" a="1"/>
  <c r="CP32" i="24" a="1"/>
  <c r="AZ32" i="24" a="1"/>
  <c r="AH68" i="24" a="1"/>
  <c r="AN20" i="24" a="1"/>
  <c r="AN36" i="24" a="1"/>
  <c r="AN64" i="24" a="1"/>
  <c r="CJ20" i="24" a="1"/>
  <c r="AH64" i="24" a="1"/>
  <c r="AT52" i="24" a="1"/>
  <c r="CP20" i="24" a="1"/>
  <c r="AH32" i="24" a="1"/>
  <c r="AZ12" i="24" a="1"/>
  <c r="CP40" i="24" a="1"/>
  <c r="AN24" i="24" a="1"/>
  <c r="AT68" i="24" a="1"/>
  <c r="CJ40" i="24" a="1"/>
  <c r="AT16" i="24" a="1"/>
  <c r="AT36" i="24" a="1"/>
  <c r="AN44" i="24" a="1"/>
  <c r="CP12" i="24" a="1"/>
  <c r="AH36" i="24" a="1"/>
  <c r="AT40" i="24" a="1"/>
  <c r="AN52" i="24" a="1"/>
  <c r="AN48" i="24" a="1"/>
  <c r="CJ64" i="24" a="1"/>
  <c r="AT64" i="24" a="1"/>
  <c r="CP68" i="24" a="1"/>
  <c r="AH28" i="24" a="1"/>
  <c r="AH48" i="24" a="1"/>
  <c r="AN40" i="24" a="1"/>
  <c r="CJ60" i="24" a="1"/>
  <c r="AH60" i="24" a="1"/>
  <c r="AT60" i="24" a="1"/>
  <c r="CJ24" i="24" a="1"/>
  <c r="AZ60" i="24" a="1"/>
  <c r="CJ56" i="24" a="1"/>
  <c r="AT32" i="24" a="1"/>
  <c r="AT12" i="24" a="1"/>
  <c r="AT20" i="24" a="1"/>
  <c r="AN16" i="24" a="1"/>
  <c r="AH56" i="24" a="1"/>
  <c r="CP64" i="24" a="1"/>
  <c r="AH40" i="24" a="1"/>
  <c r="AZ20" i="24" a="1"/>
  <c r="AZ48" i="24" a="1"/>
  <c r="AZ36" i="24" a="1"/>
  <c r="AZ68" i="24" a="1"/>
  <c r="AZ40" i="24" a="1"/>
  <c r="AZ56" i="24" a="1"/>
  <c r="AT48" i="24" a="1"/>
  <c r="AN32" i="24" a="1"/>
  <c r="CP48" i="24" a="1"/>
  <c r="AZ64" i="24" a="1"/>
  <c r="CJ52" i="24" a="1"/>
  <c r="CJ68" i="24" a="1"/>
  <c r="AN68" i="24" a="1"/>
  <c r="AT56" i="24" a="1"/>
  <c r="AT44" i="24" a="1"/>
  <c r="CJ48" i="24" a="1"/>
  <c r="CP36" i="24" a="1"/>
  <c r="AN56" i="24" a="1"/>
  <c r="CP44" i="24" a="1"/>
  <c r="AH16" i="24" a="1"/>
  <c r="AZ44" i="24" a="1"/>
  <c r="AZ28" i="24" a="1"/>
  <c r="CJ12" i="24" a="1"/>
  <c r="AN12" i="24" a="1"/>
  <c r="CP60" i="24" a="1"/>
  <c r="AT28" i="24" a="1"/>
  <c r="CP56" i="24" a="1"/>
  <c r="CJ36" i="24" a="1"/>
  <c r="AH24" i="24" a="1"/>
  <c r="CJ32" i="24" a="1"/>
  <c r="CP16" i="24" a="1"/>
  <c r="CP28" i="24" a="1"/>
  <c r="AH12" i="24" a="1"/>
  <c r="AH20" i="24" a="1"/>
  <c r="AH44" i="24" a="1"/>
  <c r="AN60" i="24" a="1"/>
  <c r="AH52" i="24" a="1"/>
  <c r="CJ56" i="24" l="1"/>
  <c r="CP56" i="24"/>
  <c r="CJ64" i="24"/>
  <c r="CP64" i="24"/>
  <c r="CJ68" i="24"/>
  <c r="CP68" i="24"/>
  <c r="CJ60" i="24"/>
  <c r="CP60" i="24"/>
  <c r="CJ12" i="24"/>
  <c r="CP12" i="24"/>
  <c r="CJ16" i="24"/>
  <c r="CP16" i="24"/>
  <c r="CJ20" i="24"/>
  <c r="CP20" i="24"/>
  <c r="CJ28" i="24"/>
  <c r="CP28" i="24"/>
  <c r="CJ32" i="24"/>
  <c r="CP32" i="24"/>
  <c r="CJ36" i="24"/>
  <c r="CP36" i="24"/>
  <c r="CJ40" i="24"/>
  <c r="CP40" i="24"/>
  <c r="CJ44" i="24"/>
  <c r="CP44" i="24"/>
  <c r="CJ24" i="24"/>
  <c r="CP24" i="24"/>
  <c r="CJ48" i="24"/>
  <c r="CP48" i="24"/>
  <c r="CJ52" i="24"/>
  <c r="CP52" i="24"/>
  <c r="AZ16" i="24"/>
  <c r="AZ28" i="24"/>
  <c r="AZ40" i="24"/>
  <c r="AZ24" i="24"/>
  <c r="AZ64" i="24"/>
  <c r="AZ12" i="24"/>
  <c r="AZ20" i="24"/>
  <c r="AZ32" i="24"/>
  <c r="AZ36" i="24"/>
  <c r="AZ44" i="24"/>
  <c r="AZ48" i="24"/>
  <c r="AZ52" i="24"/>
  <c r="AZ56" i="24"/>
  <c r="AZ68" i="24"/>
  <c r="AZ60" i="24"/>
  <c r="AT28" i="24"/>
  <c r="AT56" i="24"/>
  <c r="AT16" i="24"/>
  <c r="AT32" i="24"/>
  <c r="AT44" i="24"/>
  <c r="AT48" i="24"/>
  <c r="AT64" i="24"/>
  <c r="AT20" i="24"/>
  <c r="AT36" i="24"/>
  <c r="AT24" i="24"/>
  <c r="AT68" i="24"/>
  <c r="AT12" i="24"/>
  <c r="AT40" i="24"/>
  <c r="AT52" i="24"/>
  <c r="AT60" i="24"/>
  <c r="AN20" i="24"/>
  <c r="AN40" i="24"/>
  <c r="AN24" i="24"/>
  <c r="AN64" i="24"/>
  <c r="AN16" i="24"/>
  <c r="AN36" i="24"/>
  <c r="AN52" i="24"/>
  <c r="AN68" i="24"/>
  <c r="AN12" i="24"/>
  <c r="AN28" i="24"/>
  <c r="AN32" i="24"/>
  <c r="AN44" i="24"/>
  <c r="AN48" i="24"/>
  <c r="AN56" i="24"/>
  <c r="AN60" i="24"/>
  <c r="AH12" i="24"/>
  <c r="AH20" i="24"/>
  <c r="AH36" i="24"/>
  <c r="AH24" i="24"/>
  <c r="AH48" i="24"/>
  <c r="AH52" i="24"/>
  <c r="AH28" i="24"/>
  <c r="AH32" i="24"/>
  <c r="AH44" i="24"/>
  <c r="AH16" i="24"/>
  <c r="AH40" i="24"/>
  <c r="AH56" i="24"/>
  <c r="AH64" i="24"/>
  <c r="AH68" i="24"/>
  <c r="AH60" i="24"/>
  <c r="X8" i="24"/>
  <c r="AB8" i="24" s="1"/>
  <c r="AH8" i="24" a="1"/>
  <c r="CJ8" i="24" a="1"/>
  <c r="CP8" i="24" a="1"/>
  <c r="AZ8" i="24" a="1"/>
  <c r="AT8" i="24" a="1"/>
  <c r="AN8" i="24" a="1"/>
  <c r="CX10" i="24" l="1"/>
  <c r="CV9" i="24"/>
  <c r="CW9" i="24"/>
  <c r="CW10" i="24"/>
  <c r="CW8" i="24"/>
  <c r="CX8" i="24"/>
  <c r="CX9" i="24"/>
  <c r="CV10" i="24"/>
  <c r="CJ8" i="24"/>
  <c r="CV8" i="24" s="1"/>
  <c r="CX14" i="24"/>
  <c r="CV13" i="24"/>
  <c r="CW13" i="24"/>
  <c r="CX13" i="24"/>
  <c r="CV14" i="24"/>
  <c r="CW14" i="24"/>
  <c r="CW12" i="24"/>
  <c r="CX12" i="24"/>
  <c r="CP8" i="24"/>
  <c r="CV12" i="24" s="1"/>
  <c r="BG9" i="24"/>
  <c r="BH9" i="24"/>
  <c r="BF10" i="24"/>
  <c r="BF9" i="24"/>
  <c r="BG10" i="24"/>
  <c r="BG8" i="24"/>
  <c r="BH8" i="24"/>
  <c r="BH10" i="24"/>
  <c r="BH14" i="24"/>
  <c r="BH13" i="24"/>
  <c r="BF13" i="24"/>
  <c r="BG13" i="24"/>
  <c r="BF14" i="24"/>
  <c r="BG14" i="24"/>
  <c r="BG12" i="24"/>
  <c r="BH12" i="24"/>
  <c r="BG17" i="24"/>
  <c r="BH17" i="24"/>
  <c r="BF18" i="24"/>
  <c r="BG18" i="24"/>
  <c r="BG16" i="24"/>
  <c r="BH18" i="24"/>
  <c r="BH16" i="24"/>
  <c r="BF17" i="24"/>
  <c r="BH22" i="24"/>
  <c r="BF21" i="24"/>
  <c r="BG21" i="24"/>
  <c r="BH21" i="24"/>
  <c r="BF22" i="24"/>
  <c r="BG22" i="24"/>
  <c r="BG20" i="24"/>
  <c r="BH20" i="24"/>
  <c r="AZ8" i="24"/>
  <c r="BF20" i="24" s="1"/>
  <c r="AT8" i="24"/>
  <c r="BF16" i="24" s="1"/>
  <c r="AN8" i="24"/>
  <c r="BF12" i="24" s="1"/>
  <c r="AH8" i="24"/>
  <c r="BF8" i="24" s="1"/>
  <c r="CZ8" i="24" l="1" a="1"/>
  <c r="CZ17" i="24" a="1"/>
  <c r="BJ8" i="24" a="1"/>
  <c r="BJ17" i="24" a="1"/>
  <c r="BJ26" i="24" a="1"/>
  <c r="BJ35" i="24" a="1"/>
  <c r="CZ17" i="24" l="1"/>
  <c r="DB17" i="24" s="1"/>
  <c r="DB22" i="24"/>
  <c r="DB23" i="24"/>
  <c r="DB24" i="24"/>
  <c r="DB25" i="24"/>
  <c r="DB18" i="24"/>
  <c r="DB21" i="24"/>
  <c r="DB19" i="24"/>
  <c r="DB20" i="24"/>
  <c r="CZ8" i="24"/>
  <c r="DB8" i="24" s="1"/>
  <c r="DB9" i="24"/>
  <c r="DB10" i="24"/>
  <c r="DB11" i="24"/>
  <c r="DB12" i="24"/>
  <c r="DB13" i="24"/>
  <c r="DB14" i="24"/>
  <c r="DB15" i="24"/>
  <c r="DB16" i="24"/>
  <c r="BJ35" i="24"/>
  <c r="BL35" i="24" s="1"/>
  <c r="BL36" i="24"/>
  <c r="BL37" i="24"/>
  <c r="BL38" i="24"/>
  <c r="BL39" i="24"/>
  <c r="BL40" i="24"/>
  <c r="BL41" i="24"/>
  <c r="BL42" i="24"/>
  <c r="BL43" i="24"/>
  <c r="BJ26" i="24"/>
  <c r="BL26" i="24" s="1"/>
  <c r="BL30" i="24"/>
  <c r="BL31" i="24"/>
  <c r="BL32" i="24"/>
  <c r="BL33" i="24"/>
  <c r="BL34" i="24"/>
  <c r="BL27" i="24"/>
  <c r="BL28" i="24"/>
  <c r="BL29" i="24"/>
  <c r="BJ17" i="24"/>
  <c r="BL17" i="24" s="1"/>
  <c r="BL18" i="24"/>
  <c r="BL19" i="24"/>
  <c r="BL20" i="24"/>
  <c r="BL21" i="24"/>
  <c r="BL22" i="24"/>
  <c r="BL23" i="24"/>
  <c r="BL24" i="24"/>
  <c r="BL25" i="24"/>
  <c r="BJ8" i="24"/>
  <c r="BL8" i="24" s="1"/>
  <c r="BL14" i="24"/>
  <c r="BL15" i="24"/>
  <c r="BL16" i="24"/>
  <c r="BL9" i="24"/>
  <c r="BL10" i="24"/>
  <c r="BL11" i="24"/>
  <c r="BL12" i="24"/>
  <c r="BL13" i="24"/>
  <c r="DW8" i="24" l="1" a="1"/>
  <c r="BX8" i="24" a="1"/>
  <c r="DW8" i="24" l="1"/>
  <c r="EA8" i="24" s="1"/>
  <c r="EA23" i="24"/>
  <c r="EA39" i="24"/>
  <c r="EA55" i="24"/>
  <c r="EA71" i="24"/>
  <c r="EA25" i="24"/>
  <c r="EA41" i="24"/>
  <c r="EA24" i="24"/>
  <c r="EA40" i="24"/>
  <c r="EA56" i="24"/>
  <c r="EA9" i="24"/>
  <c r="EA57" i="24"/>
  <c r="EA26" i="24"/>
  <c r="EA42" i="24"/>
  <c r="EA58" i="24"/>
  <c r="EA11" i="24"/>
  <c r="EA43" i="24"/>
  <c r="EA44" i="24"/>
  <c r="EA10" i="24"/>
  <c r="EA27" i="24"/>
  <c r="EA12" i="24"/>
  <c r="EA13" i="24"/>
  <c r="EA29" i="24"/>
  <c r="EA45" i="24"/>
  <c r="EA61" i="24"/>
  <c r="EA14" i="24"/>
  <c r="EA30" i="24"/>
  <c r="EA46" i="24"/>
  <c r="EA62" i="24"/>
  <c r="EA31" i="24"/>
  <c r="EA47" i="24"/>
  <c r="EA63" i="24"/>
  <c r="EA16" i="24"/>
  <c r="EA32" i="24"/>
  <c r="EA48" i="24"/>
  <c r="EA64" i="24"/>
  <c r="EA33" i="24"/>
  <c r="EA49" i="24"/>
  <c r="EA65" i="24"/>
  <c r="EA18" i="24"/>
  <c r="EA34" i="24"/>
  <c r="EA50" i="24"/>
  <c r="EA66" i="24"/>
  <c r="EA19" i="24"/>
  <c r="EA35" i="24"/>
  <c r="EA51" i="24"/>
  <c r="EA67" i="24"/>
  <c r="EA70" i="24"/>
  <c r="EA59" i="24"/>
  <c r="EA60" i="24"/>
  <c r="EA15" i="24"/>
  <c r="EA17" i="24"/>
  <c r="EA20" i="24"/>
  <c r="EA36" i="24"/>
  <c r="EA52" i="24"/>
  <c r="EA68" i="24"/>
  <c r="EA21" i="24"/>
  <c r="EA37" i="24"/>
  <c r="EA53" i="24"/>
  <c r="EA69" i="24"/>
  <c r="EA22" i="24"/>
  <c r="EA38" i="24"/>
  <c r="EA54" i="24"/>
  <c r="EA28" i="24"/>
  <c r="BX8" i="24"/>
  <c r="BX10" i="24" s="1" a="1"/>
  <c r="L4" i="24" l="1"/>
  <c r="M2" i="24"/>
  <c r="N2" i="24"/>
  <c r="M3" i="24"/>
  <c r="N4" i="24"/>
  <c r="L3" i="24"/>
  <c r="N3" i="24"/>
  <c r="M4" i="24"/>
  <c r="EE8" i="24" a="1"/>
  <c r="EE8" i="24" s="1"/>
  <c r="EG8" i="24" s="1"/>
  <c r="BX10" i="24"/>
  <c r="L2" i="2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<sst xmlns="http://schemas.openxmlformats.org/spreadsheetml/2006/main" count="2" uniqueCount="2">
  <si>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r>
      <rPr>
        <b/>
        <sz val="9"/>
        <color theme="1"/>
        <rFont val="Segoe UI Symbol"/>
        <family val="2"/>
      </rPr>
      <t>👇</t>
    </r>
    <r>
      <rPr>
        <b/>
        <sz val="9"/>
        <color theme="1"/>
        <rFont val="Noto Sans JP"/>
        <family val="2"/>
        <charset val="134"/>
      </rPr>
      <t>策略</t>
    </r>
    <phoneticPr fontId="1"/>
  </si>
  <si>
    <r>
      <rPr>
        <b/>
        <sz val="9"/>
        <color theme="1"/>
        <rFont val="Segoe UI Symbol"/>
        <family val="2"/>
      </rPr>
      <t>👇</t>
    </r>
    <r>
      <rPr>
        <b/>
        <sz val="9"/>
        <color theme="1"/>
        <rFont val="Yu Gothic"/>
        <family val="2"/>
        <charset val="134"/>
      </rPr>
      <t>价</t>
    </r>
    <r>
      <rPr>
        <b/>
        <sz val="9"/>
        <color theme="1"/>
        <rFont val="微软雅黑"/>
        <family val="2"/>
        <charset val="134"/>
      </rPr>
      <t>值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</si>
</sst>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sz val="6"/>
      <name val="Yu Gothic"/>
      <family val="2"/>
      <scheme val="minor"/>
    </font>
    <font>
      <sz val="6"/>
      <color theme="1"/>
      <name val="Yu Gothic"/>
      <family val="2"/>
      <scheme val="minor"/>
    </font>
    <font>
      <sz val="11"/>
      <name val="Yu Gothic"/>
      <family val="2"/>
      <scheme val="minor"/>
    </font>
    <font>
      <b/>
      <sz val="9"/>
      <color theme="1"/>
      <name val="微软雅黑"/>
      <family val="2"/>
      <charset val="134"/>
    </font>
    <font>
      <b/>
      <sz val="9"/>
      <color theme="1"/>
      <name val="Yu Gothic"/>
      <family val="2"/>
    </font>
    <font>
      <b/>
      <sz val="9"/>
      <color theme="1"/>
      <name val="Segoe UI Symbol"/>
      <family val="2"/>
    </font>
    <font>
      <b/>
      <sz val="9"/>
      <color theme="1"/>
      <name val="Noto Sans JP"/>
      <family val="2"/>
      <charset val="134"/>
    </font>
    <font>
      <b/>
      <sz val="11"/>
      <color theme="1"/>
      <name val="Yu Gothic"/>
      <family val="2"/>
      <scheme val="minor"/>
    </font>
    <font>
      <b/>
      <sz val="9"/>
      <color theme="1"/>
      <name val="Yu Gothic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/>
  </cellStyleXfs>
  <cellXfs count="11">
    <xf numFmtId="0" fontId="0" fillId="0" borderId="0" xfId="0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2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</cellXfs>
  <cellStyles count="3">
    <cellStyle name="常规" xfId="0" builtinId="0"/>
    <cellStyle name="常规 2" xfId="1" xr:uid="{03867456-819F-42CA-8466-5DDEBFF273DD}"/>
    <cellStyle name="常规 2 2" xfId="2" xr:uid="{9A50F0E5-7CBB-4754-9C55-1683307D4D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'00.成品展示'!$P$5:$AC$5</c15:sqref>
                  </c15:fullRef>
                </c:ext>
              </c:extLst>
              <c:f>'00.成品展示'!$P$5:$W$5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AE0-4900-ACDA-176192ECD62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56550143"/>
        <c:axId val="1343539791"/>
      </c:barChart>
      <c:catAx>
        <c:axId val="115655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3539791"/>
        <c:crosses val="autoZero"/>
        <c:auto val="1"/>
        <c:lblAlgn val="ctr"/>
        <c:lblOffset val="100"/>
        <c:noMultiLvlLbl val="0"/>
      </c:catAx>
      <c:valAx>
        <c:axId val="1343539791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1156550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1</xdr:row>
      <xdr:rowOff>95250</xdr:rowOff>
    </xdr:from>
    <xdr:to>
      <xdr:col>10</xdr:col>
      <xdr:colOff>23587</xdr:colOff>
      <xdr:row>3</xdr:row>
      <xdr:rowOff>92075</xdr:rowOff>
    </xdr:to>
    <xdr:sp macro="[0]!Sheet5.ResetGame" textlink="">
      <xdr:nvSpPr>
        <xdr:cNvPr id="2" name="btn_gen_ann">
          <a:extLst>
            <a:ext uri="{FF2B5EF4-FFF2-40B4-BE49-F238E27FC236}">
              <a16:creationId xmlns:a16="http://schemas.microsoft.com/office/drawing/2014/main" id="{A3E3D261-676E-4DB4-B1D0-EC6F9A09ABA0}"/>
            </a:ext>
          </a:extLst>
        </xdr:cNvPr>
        <xdr:cNvSpPr/>
      </xdr:nvSpPr>
      <xdr:spPr>
        <a:xfrm>
          <a:off x="1219200" y="285750"/>
          <a:ext cx="1534887" cy="37782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1800"/>
            <a:t>Reset</a:t>
          </a:r>
          <a:endParaRPr kumimoji="1" lang="ja-JP" altLang="en-US" sz="1800"/>
        </a:p>
      </xdr:txBody>
    </xdr:sp>
    <xdr:clientData/>
  </xdr:twoCellAnchor>
  <xdr:twoCellAnchor>
    <xdr:from>
      <xdr:col>5</xdr:col>
      <xdr:colOff>12700</xdr:colOff>
      <xdr:row>5</xdr:row>
      <xdr:rowOff>57151</xdr:rowOff>
    </xdr:from>
    <xdr:to>
      <xdr:col>29</xdr:col>
      <xdr:colOff>171450</xdr:colOff>
      <xdr:row>6</xdr:row>
      <xdr:rowOff>95251</xdr:rowOff>
    </xdr:to>
    <xdr:sp macro="" textlink="">
      <xdr:nvSpPr>
        <xdr:cNvPr id="3" name="对话气泡: 圆角矩形 2">
          <a:extLst>
            <a:ext uri="{FF2B5EF4-FFF2-40B4-BE49-F238E27FC236}">
              <a16:creationId xmlns:a16="http://schemas.microsoft.com/office/drawing/2014/main" id="{A23E92A2-2995-43A4-8CA2-4D43E9A04556}"/>
            </a:ext>
          </a:extLst>
        </xdr:cNvPr>
        <xdr:cNvSpPr/>
      </xdr:nvSpPr>
      <xdr:spPr>
        <a:xfrm>
          <a:off x="1394759" y="1028327"/>
          <a:ext cx="6792632" cy="232336"/>
        </a:xfrm>
        <a:prstGeom prst="wedgeRoundRectCallout">
          <a:avLst>
            <a:gd name="adj1" fmla="val -33510"/>
            <a:gd name="adj2" fmla="val 79167"/>
            <a:gd name="adj3" fmla="val 16667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zh-CN" sz="1100" baseline="0">
              <a:solidFill>
                <a:sysClr val="windowText" lastClr="000000"/>
              </a:solidFill>
            </a:rPr>
            <a:t>[1]</a:t>
          </a:r>
          <a:r>
            <a:rPr kumimoji="1" lang="zh-CN" altLang="en-US" sz="1100" baseline="0">
              <a:solidFill>
                <a:sysClr val="windowText" lastClr="000000"/>
              </a:solidFill>
            </a:rPr>
            <a:t>卷积层</a:t>
          </a:r>
          <a:r>
            <a:rPr kumimoji="1" lang="en-US" altLang="zh-CN" sz="1100" baseline="0">
              <a:solidFill>
                <a:sysClr val="windowText" lastClr="000000"/>
              </a:solidFill>
            </a:rPr>
            <a:t>(2,16)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30</xdr:col>
      <xdr:colOff>246529</xdr:colOff>
      <xdr:row>5</xdr:row>
      <xdr:rowOff>57151</xdr:rowOff>
    </xdr:from>
    <xdr:to>
      <xdr:col>84</xdr:col>
      <xdr:colOff>8294</xdr:colOff>
      <xdr:row>6</xdr:row>
      <xdr:rowOff>95251</xdr:rowOff>
    </xdr:to>
    <xdr:sp macro="" textlink="">
      <xdr:nvSpPr>
        <xdr:cNvPr id="4" name="对话气泡: 圆角矩形 3">
          <a:extLst>
            <a:ext uri="{FF2B5EF4-FFF2-40B4-BE49-F238E27FC236}">
              <a16:creationId xmlns:a16="http://schemas.microsoft.com/office/drawing/2014/main" id="{97A18999-2AE7-41BD-988D-1C6784A54673}"/>
            </a:ext>
          </a:extLst>
        </xdr:cNvPr>
        <xdr:cNvSpPr/>
      </xdr:nvSpPr>
      <xdr:spPr>
        <a:xfrm>
          <a:off x="8538882" y="1028327"/>
          <a:ext cx="14688000" cy="232336"/>
        </a:xfrm>
        <a:prstGeom prst="wedgeRoundRectCallout">
          <a:avLst>
            <a:gd name="adj1" fmla="val -33510"/>
            <a:gd name="adj2" fmla="val 79167"/>
            <a:gd name="adj3" fmla="val 16667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zh-CN" sz="1100" baseline="0">
              <a:solidFill>
                <a:sysClr val="windowText" lastClr="000000"/>
              </a:solidFill>
            </a:rPr>
            <a:t>[2]</a:t>
          </a:r>
          <a:r>
            <a:rPr kumimoji="1" lang="zh-CN" altLang="en-US" sz="1100" baseline="0">
              <a:solidFill>
                <a:sysClr val="windowText" lastClr="000000"/>
              </a:solidFill>
            </a:rPr>
            <a:t>策略头</a:t>
          </a:r>
          <a:r>
            <a:rPr kumimoji="1" lang="en-US" altLang="zh-CN" sz="1100" baseline="0">
              <a:solidFill>
                <a:sysClr val="windowText" lastClr="000000"/>
              </a:solidFill>
            </a:rPr>
            <a:t>(16,4)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84</xdr:col>
      <xdr:colOff>247596</xdr:colOff>
      <xdr:row>5</xdr:row>
      <xdr:rowOff>57684</xdr:rowOff>
    </xdr:from>
    <xdr:to>
      <xdr:col>138</xdr:col>
      <xdr:colOff>9361</xdr:colOff>
      <xdr:row>6</xdr:row>
      <xdr:rowOff>95784</xdr:rowOff>
    </xdr:to>
    <xdr:sp macro="" textlink="">
      <xdr:nvSpPr>
        <xdr:cNvPr id="6" name="对话气泡: 圆角矩形 5">
          <a:extLst>
            <a:ext uri="{FF2B5EF4-FFF2-40B4-BE49-F238E27FC236}">
              <a16:creationId xmlns:a16="http://schemas.microsoft.com/office/drawing/2014/main" id="{C39E2EDF-BE40-4824-BF77-774F8F3B8876}"/>
            </a:ext>
          </a:extLst>
        </xdr:cNvPr>
        <xdr:cNvSpPr/>
      </xdr:nvSpPr>
      <xdr:spPr>
        <a:xfrm>
          <a:off x="23107596" y="1010184"/>
          <a:ext cx="14457479" cy="228600"/>
        </a:xfrm>
        <a:prstGeom prst="wedgeRoundRectCallout">
          <a:avLst>
            <a:gd name="adj1" fmla="val -33510"/>
            <a:gd name="adj2" fmla="val 79167"/>
            <a:gd name="adj3" fmla="val 16667"/>
          </a:avLst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zh-CN" sz="1100" baseline="0">
              <a:solidFill>
                <a:sysClr val="windowText" lastClr="000000"/>
              </a:solidFill>
            </a:rPr>
            <a:t>[3]</a:t>
          </a:r>
          <a:r>
            <a:rPr kumimoji="1" lang="zh-CN" altLang="en-US" sz="1100" baseline="0">
              <a:solidFill>
                <a:sysClr val="windowText" lastClr="000000"/>
              </a:solidFill>
            </a:rPr>
            <a:t>价值头</a:t>
          </a:r>
          <a:r>
            <a:rPr kumimoji="1" lang="en-US" altLang="zh-CN" sz="1100" baseline="0">
              <a:solidFill>
                <a:sysClr val="windowText" lastClr="000000"/>
              </a:solidFill>
            </a:rPr>
            <a:t>(16,2)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57150</xdr:colOff>
      <xdr:row>1</xdr:row>
      <xdr:rowOff>12700</xdr:rowOff>
    </xdr:from>
    <xdr:to>
      <xdr:col>31</xdr:col>
      <xdr:colOff>260350</xdr:colOff>
      <xdr:row>4</xdr:row>
      <xdr:rowOff>139700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27233717-76D7-7A6D-1F69-DFA783776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666C8-7E45-42C4-9EAE-3C88BC422C4B}">
  <sheetPr codeName="Sheet5"/>
  <dimension ref="B1:EG71"/>
  <sheetViews>
    <sheetView showGridLines="0" tabSelected="1" zoomScaleNormal="100" workbookViewId="0">
      <pane ySplit="5" topLeftCell="A6" activePane="bottomLeft" state="frozen"/>
      <selection pane="bottomLeft" activeCell="AM4" sqref="AM4"/>
    </sheetView>
  </sheetViews>
  <sheetFormatPr defaultColWidth="3.58203125" defaultRowHeight="15" customHeight="1" x14ac:dyDescent="0.55000000000000004"/>
  <cols>
    <col min="1" max="9" width="3.58203125" style="2"/>
    <col min="10" max="10" width="3.58203125" style="2" customWidth="1"/>
    <col min="11" max="15" width="3.58203125" style="2"/>
    <col min="16" max="16" width="3.58203125" style="2" customWidth="1"/>
    <col min="17" max="16384" width="3.58203125" style="2"/>
  </cols>
  <sheetData>
    <row r="1" spans="2:137" ht="15" customHeight="1" x14ac:dyDescent="0.55000000000000004">
      <c r="L1" s="8" t="s">
        <v>0</v>
      </c>
      <c r="M1" s="9"/>
      <c r="N1" s="9"/>
      <c r="O1" s="9"/>
      <c r="P1" s="8" t="s">
        <v>1</v>
      </c>
      <c r="Q1" s="9"/>
    </row>
    <row r="2" spans="2:137" ht="15" customHeight="1" x14ac:dyDescent="0.55000000000000004">
      <c r="B2" s="10"/>
      <c r="C2" s="10"/>
      <c r="D2" s="10"/>
      <c r="L2" s="4">
        <f>BX10</f>
        <v>-0.19021742142523707</v>
      </c>
      <c r="M2" s="4">
        <f t="shared" ref="M2:N2" si="0">BY10</f>
        <v>-1.0560270803875255E-2</v>
      </c>
      <c r="N2" s="4">
        <f t="shared" si="0"/>
        <v>-0.1581985893813391</v>
      </c>
    </row>
    <row r="3" spans="2:137" ht="15" customHeight="1" x14ac:dyDescent="0.55000000000000004">
      <c r="B3" s="10"/>
      <c r="C3" s="10"/>
      <c r="D3" s="10"/>
      <c r="L3" s="4">
        <f t="shared" ref="L3:L4" si="1">BX11</f>
        <v>4.3958393225683713E-2</v>
      </c>
      <c r="M3" s="4">
        <f t="shared" ref="M3:M4" si="2">BY11</f>
        <v>-0.30451117461256721</v>
      </c>
      <c r="N3" s="4">
        <f t="shared" ref="N3:N4" si="3">BZ11</f>
        <v>0.24819322140685574</v>
      </c>
    </row>
    <row r="4" spans="2:137" ht="15" customHeight="1" x14ac:dyDescent="0.55000000000000004">
      <c r="B4" s="10"/>
      <c r="C4" s="10"/>
      <c r="D4" s="10"/>
      <c r="L4" s="4">
        <f t="shared" si="1"/>
        <v>-0.14112114486832852</v>
      </c>
      <c r="M4" s="4">
        <f t="shared" si="2"/>
        <v>-0.18542822938741926</v>
      </c>
      <c r="N4" s="4">
        <f t="shared" si="3"/>
        <v>3.2134628029450697E-2</v>
      </c>
    </row>
    <row r="5" spans="2:137" ht="15" customHeight="1" x14ac:dyDescent="0.55000000000000004"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7"/>
      <c r="AE5" s="7"/>
      <c r="AF5" s="7"/>
      <c r="AG5" s="7"/>
    </row>
    <row r="8" spans="2:137" s="1" customFormat="1" ht="15" customHeight="1" x14ac:dyDescent="0.35">
      <c r="B8" s="5">
        <v>0</v>
      </c>
      <c r="C8" s="5">
        <v>0</v>
      </c>
      <c r="D8" s="5">
        <v>0</v>
      </c>
      <c r="F8" s="1">
        <v>-9.1565999999999995E-2</v>
      </c>
      <c r="G8" s="1">
        <v>-0.268598</v>
      </c>
      <c r="H8" s="1">
        <v>-0.116978</v>
      </c>
      <c r="J8" s="1" cm="1">
        <f t="array" ref="J8:L10">Conv2D(B8:D10,F8:H10)</f>
        <v>0</v>
      </c>
      <c r="K8" s="1">
        <v>0</v>
      </c>
      <c r="L8" s="1">
        <v>0</v>
      </c>
      <c r="N8" s="1">
        <v>0.24123900000000001</v>
      </c>
      <c r="O8" s="1">
        <v>-4.8891999999999998E-2</v>
      </c>
      <c r="P8" s="1">
        <v>-0.20333899999999999</v>
      </c>
      <c r="R8" s="1" cm="1">
        <f t="array" ref="R8:T10">Conv2D(B12:D14,N8:P10)</f>
        <v>-0.17083899999999999</v>
      </c>
      <c r="S8" s="1">
        <v>0.23652100000000001</v>
      </c>
      <c r="T8" s="1">
        <v>0.109446</v>
      </c>
      <c r="V8" s="1">
        <v>-5.1338000000000002E-2</v>
      </c>
      <c r="X8" s="1">
        <f>J8+R8+$V$8</f>
        <v>-0.22217699999999999</v>
      </c>
      <c r="Y8" s="1">
        <f t="shared" ref="Y8:Z8" si="4">K8+S8+$V$8</f>
        <v>0.18518300000000001</v>
      </c>
      <c r="Z8" s="1">
        <f t="shared" si="4"/>
        <v>5.8108E-2</v>
      </c>
      <c r="AB8" s="1">
        <f>MAX(0,X8)</f>
        <v>0</v>
      </c>
      <c r="AC8" s="1">
        <f t="shared" ref="AC8:AD8" si="5">MAX(0,Y8)</f>
        <v>0.18518300000000001</v>
      </c>
      <c r="AD8" s="1">
        <f t="shared" si="5"/>
        <v>5.8108E-2</v>
      </c>
      <c r="AF8" s="1">
        <v>2.7432000000000002E-2</v>
      </c>
      <c r="AH8" s="1" cm="1">
        <f t="array" ref="AH8:AJ10">Conv($AB$8:$AD$10,AF8)</f>
        <v>0</v>
      </c>
      <c r="AI8" s="1">
        <v>5.0799400560000004E-3</v>
      </c>
      <c r="AJ8" s="1">
        <v>1.594018656E-3</v>
      </c>
      <c r="AL8" s="1">
        <v>-0.154694</v>
      </c>
      <c r="AN8" s="1" cm="1">
        <f t="array" ref="AN8:AP10">Conv($AB$8:$AD$10,AL8)</f>
        <v>0</v>
      </c>
      <c r="AO8" s="1">
        <v>-2.8646699002000002E-2</v>
      </c>
      <c r="AP8" s="1">
        <v>-8.9889589519999997E-3</v>
      </c>
      <c r="AR8" s="1">
        <v>2.7417E-2</v>
      </c>
      <c r="AT8" s="1" cm="1">
        <f t="array" ref="AT8:AV10">Conv($AB$8:$AD$10,AR8)</f>
        <v>0</v>
      </c>
      <c r="AU8" s="1">
        <v>5.0771623110000006E-3</v>
      </c>
      <c r="AV8" s="1">
        <v>1.5931470360000001E-3</v>
      </c>
      <c r="AX8" s="1">
        <v>-0.120688</v>
      </c>
      <c r="AZ8" s="1" cm="1">
        <f t="array" ref="AZ8:BB10">Conv($AB$8:$AD$10,AX8)</f>
        <v>0</v>
      </c>
      <c r="BA8" s="1">
        <v>-2.2349365904000003E-2</v>
      </c>
      <c r="BB8" s="1">
        <v>-7.0129383040000003E-3</v>
      </c>
      <c r="BD8" s="1">
        <v>-0.14249700000000001</v>
      </c>
      <c r="BF8" s="1">
        <f t="shared" ref="BF8:BH10" si="6">AH8+AH12+AH16+AH20+AH24+AH28+AH32+AH36+AH40+AH44+AH48+AH52+AH56+AH60+AH64+AH68+$BD$8</f>
        <v>-0.17020381038200003</v>
      </c>
      <c r="BG8" s="1">
        <f t="shared" si="6"/>
        <v>-0.16216772643300001</v>
      </c>
      <c r="BH8" s="1">
        <f t="shared" si="6"/>
        <v>-0.20361691951400002</v>
      </c>
      <c r="BJ8" s="1" cm="1">
        <f t="array" ref="BJ8:BJ16">_xlfn.TOCOL(BF8:BH10)</f>
        <v>-0.17020381038200003</v>
      </c>
      <c r="BL8" s="1">
        <f>MAX(0,BJ8)</f>
        <v>0</v>
      </c>
      <c r="BN8" s="1">
        <v>-0.16534499999999999</v>
      </c>
      <c r="BO8" s="1">
        <v>3.6755000000000003E-2</v>
      </c>
      <c r="BP8" s="1">
        <v>0.11351</v>
      </c>
      <c r="BQ8" s="1">
        <v>6.9921999999999998E-2</v>
      </c>
      <c r="BR8" s="1">
        <v>-3.3048000000000001E-2</v>
      </c>
      <c r="BS8" s="1">
        <v>0.15964300000000001</v>
      </c>
      <c r="BT8" s="1">
        <v>0.12651999999999999</v>
      </c>
      <c r="BU8" s="1">
        <v>-0.13142599999999999</v>
      </c>
      <c r="BV8" s="1">
        <v>8.4173999999999999E-2</v>
      </c>
      <c r="BX8" s="1" cm="1">
        <f t="array" ref="BX8:CF8">MMULT(_xlfn.TOROW(BL8:BL43),BN8:BV43)</f>
        <v>-0.19021742142523707</v>
      </c>
      <c r="BY8" s="1">
        <v>-1.0560270803875255E-2</v>
      </c>
      <c r="BZ8" s="1">
        <v>-0.1581985893813391</v>
      </c>
      <c r="CA8" s="1">
        <v>4.3958393225683713E-2</v>
      </c>
      <c r="CB8" s="1">
        <v>-0.30451117461256721</v>
      </c>
      <c r="CC8" s="1">
        <v>0.24819322140685574</v>
      </c>
      <c r="CD8" s="1">
        <v>-0.14112114486832852</v>
      </c>
      <c r="CE8" s="1">
        <v>-0.18542822938741926</v>
      </c>
      <c r="CF8" s="1">
        <v>3.2134628029450697E-2</v>
      </c>
      <c r="CH8" s="1">
        <v>-0.154393</v>
      </c>
      <c r="CJ8" s="1" cm="1">
        <f t="array" ref="CJ8:CL10">Conv($AB$8:$AD$10,CH8)</f>
        <v>0</v>
      </c>
      <c r="CK8" s="1">
        <v>-2.8590958919000004E-2</v>
      </c>
      <c r="CL8" s="1">
        <v>-8.9714684439999998E-3</v>
      </c>
      <c r="CN8" s="1">
        <v>-2.1440000000000001E-2</v>
      </c>
      <c r="CP8" s="1" cm="1">
        <f t="array" ref="CP8:CR10">Conv($AB$8:$AD$10,CN8)</f>
        <v>0</v>
      </c>
      <c r="CQ8" s="1">
        <v>-3.9703235200000001E-3</v>
      </c>
      <c r="CR8" s="1">
        <v>-1.2458355200000001E-3</v>
      </c>
      <c r="CT8" s="1">
        <v>0.25273600000000002</v>
      </c>
      <c r="CV8" s="1">
        <f>CJ8+CJ12+CJ16+CJ20+CJ24+CJ28+CJ32+CJ36+CJ40+CJ44+CJ48+CJ52+CJ56+CJ60+CJ64+CJ68+$CT$8</f>
        <v>0.44301436896400004</v>
      </c>
      <c r="CW8" s="1">
        <f t="shared" ref="CW8:CX8" si="7">CK8+CK12+CK16+CK20+CK24+CK28+CK32+CK36+CK40+CK44+CK48+CK52+CK56+CK60+CK64+CK68+$CT$8</f>
        <v>0.198575640424</v>
      </c>
      <c r="CX8" s="1">
        <f t="shared" si="7"/>
        <v>0.23244327277000001</v>
      </c>
      <c r="CZ8" s="1" cm="1">
        <f t="array" ref="CZ8:CZ16">_xlfn.TOCOL(CV8:CX10)</f>
        <v>0.44301436896400004</v>
      </c>
      <c r="DB8" s="1">
        <f>MAX(0,CZ8)</f>
        <v>0.44301436896400004</v>
      </c>
      <c r="DD8" s="6">
        <v>0.18734999999999999</v>
      </c>
      <c r="DE8" s="6">
        <v>0.163493</v>
      </c>
      <c r="DF8" s="6">
        <v>0.17776900000000001</v>
      </c>
      <c r="DG8" s="6">
        <v>-0.111877</v>
      </c>
      <c r="DH8" s="6">
        <v>-0.20241999999999999</v>
      </c>
      <c r="DI8" s="6">
        <v>-0.13145100000000001</v>
      </c>
      <c r="DJ8" s="6">
        <v>-0.147761</v>
      </c>
      <c r="DK8" s="6">
        <v>-0.174069</v>
      </c>
      <c r="DL8" s="6">
        <v>8.6782999999999999E-2</v>
      </c>
      <c r="DM8" s="6">
        <v>7.0870000000000004E-3</v>
      </c>
      <c r="DN8" s="6">
        <v>0.210947</v>
      </c>
      <c r="DO8" s="6">
        <v>4.2190999999999999E-2</v>
      </c>
      <c r="DP8" s="6">
        <v>-0.13772400000000001</v>
      </c>
      <c r="DQ8" s="6">
        <v>0.226794</v>
      </c>
      <c r="DR8" s="6">
        <v>-0.16977700000000001</v>
      </c>
      <c r="DS8" s="6">
        <v>8.3859000000000003E-2</v>
      </c>
      <c r="DT8" s="6">
        <v>-3.202E-2</v>
      </c>
      <c r="DU8" s="6">
        <v>-0.162027</v>
      </c>
      <c r="DW8" s="1" cm="1">
        <f t="array" ref="DW8:DW71">_xlfn.TOCOL(MMULT(_xlfn.TOROW(DB8:DB25),TRANSPOSE(DD8:DU71)))</f>
        <v>-4.6414694517588895E-2</v>
      </c>
      <c r="DY8" s="6">
        <v>-0.231771</v>
      </c>
      <c r="EA8" s="1">
        <f>MAX(0,DW8+DY8)</f>
        <v>0</v>
      </c>
      <c r="EC8" s="6">
        <v>5.3474000000000001E-2</v>
      </c>
      <c r="EE8" s="1" cm="1">
        <f t="array" ref="EE8">MMULT(_xlfn.TOROW(EA8:EA71),EC8:EC71)</f>
        <v>-0.32364974075714742</v>
      </c>
      <c r="EG8" s="1">
        <f>TANH(EE8+EE10)</f>
        <v>-0.3353532657318784</v>
      </c>
    </row>
    <row r="9" spans="2:137" s="1" customFormat="1" ht="15" customHeight="1" x14ac:dyDescent="0.35">
      <c r="B9" s="5">
        <v>0</v>
      </c>
      <c r="C9" s="5">
        <v>0</v>
      </c>
      <c r="D9" s="5">
        <v>0</v>
      </c>
      <c r="F9" s="1">
        <v>-9.1590000000000005E-2</v>
      </c>
      <c r="G9" s="1">
        <v>6.8729999999999999E-2</v>
      </c>
      <c r="H9" s="1">
        <v>0.17823700000000001</v>
      </c>
      <c r="J9" s="1">
        <v>0</v>
      </c>
      <c r="K9" s="1">
        <v>0</v>
      </c>
      <c r="L9" s="1">
        <v>0</v>
      </c>
      <c r="N9" s="1">
        <v>9.7222000000000003E-2</v>
      </c>
      <c r="O9" s="1">
        <v>7.0074999999999998E-2</v>
      </c>
      <c r="P9" s="1">
        <v>3.8134000000000001E-2</v>
      </c>
      <c r="R9" s="1">
        <v>3.8134000000000001E-2</v>
      </c>
      <c r="S9" s="1">
        <v>7.0074999999999998E-2</v>
      </c>
      <c r="T9" s="1">
        <v>9.7222000000000003E-2</v>
      </c>
      <c r="X9" s="1">
        <f t="shared" ref="X9:X10" si="8">J9+R9+$V$8</f>
        <v>-1.3204E-2</v>
      </c>
      <c r="Y9" s="1">
        <f t="shared" ref="Y9:Y10" si="9">K9+S9+$V$8</f>
        <v>1.8736999999999997E-2</v>
      </c>
      <c r="Z9" s="1">
        <f t="shared" ref="Z9:Z10" si="10">L9+T9+$V$8</f>
        <v>4.5884000000000001E-2</v>
      </c>
      <c r="AB9" s="1">
        <f t="shared" ref="AB9:AB10" si="11">MAX(0,X9)</f>
        <v>0</v>
      </c>
      <c r="AC9" s="1">
        <f t="shared" ref="AC9:AC10" si="12">MAX(0,Y9)</f>
        <v>1.8736999999999997E-2</v>
      </c>
      <c r="AD9" s="1">
        <f t="shared" ref="AD9:AD10" si="13">MAX(0,Z9)</f>
        <v>4.5884000000000001E-2</v>
      </c>
      <c r="AH9" s="1">
        <v>0</v>
      </c>
      <c r="AI9" s="1">
        <v>5.139933839999999E-4</v>
      </c>
      <c r="AJ9" s="1">
        <v>1.258689888E-3</v>
      </c>
      <c r="AN9" s="1">
        <v>0</v>
      </c>
      <c r="AO9" s="1">
        <v>-2.8985014779999993E-3</v>
      </c>
      <c r="AP9" s="1">
        <v>-7.0979794959999997E-3</v>
      </c>
      <c r="AT9" s="1">
        <v>0</v>
      </c>
      <c r="AU9" s="1">
        <v>5.1371232899999992E-4</v>
      </c>
      <c r="AV9" s="1">
        <v>1.258001628E-3</v>
      </c>
      <c r="AZ9" s="1">
        <v>0</v>
      </c>
      <c r="BA9" s="1">
        <v>-2.2613310559999999E-3</v>
      </c>
      <c r="BB9" s="1">
        <v>-5.5376481920000001E-3</v>
      </c>
      <c r="BF9" s="1">
        <f t="shared" si="6"/>
        <v>-0.12457334089000002</v>
      </c>
      <c r="BG9" s="1">
        <f t="shared" si="6"/>
        <v>-0.10300511942900001</v>
      </c>
      <c r="BH9" s="1">
        <f t="shared" si="6"/>
        <v>-0.13909796294700003</v>
      </c>
      <c r="BJ9" s="1">
        <v>-0.16216772643300001</v>
      </c>
      <c r="BL9" s="1">
        <f t="shared" ref="BL9:BL43" si="14">MAX(0,BJ9)</f>
        <v>0</v>
      </c>
      <c r="BN9" s="1">
        <v>0.162828</v>
      </c>
      <c r="BO9" s="1">
        <v>-0.101134</v>
      </c>
      <c r="BP9" s="1">
        <v>-0.14910999999999999</v>
      </c>
      <c r="BQ9" s="1">
        <v>-2.4975000000000001E-2</v>
      </c>
      <c r="BR9" s="1">
        <v>6.2528E-2</v>
      </c>
      <c r="BS9" s="1">
        <v>7.7687000000000006E-2</v>
      </c>
      <c r="BT9" s="1">
        <v>0.16150100000000001</v>
      </c>
      <c r="BU9" s="1">
        <v>-0.106961</v>
      </c>
      <c r="BV9" s="1">
        <v>1.5303000000000001E-2</v>
      </c>
      <c r="CJ9" s="1">
        <v>0</v>
      </c>
      <c r="CK9" s="1">
        <v>-2.8928616409999997E-3</v>
      </c>
      <c r="CL9" s="1">
        <v>-7.0841684120000002E-3</v>
      </c>
      <c r="CP9" s="1">
        <v>0</v>
      </c>
      <c r="CQ9" s="1">
        <v>-4.0172127999999992E-4</v>
      </c>
      <c r="CR9" s="1">
        <v>-9.8375296000000013E-4</v>
      </c>
      <c r="CV9" s="1">
        <f t="shared" ref="CV9:CV10" si="15">CJ9+CJ13+CJ17+CJ21+CJ25+CJ29+CJ33+CJ37+CJ41+CJ45+CJ49+CJ53+CJ57+CJ61+CJ65+CJ69+$CT$8</f>
        <v>0.25603020533600002</v>
      </c>
      <c r="CW9" s="1">
        <f t="shared" ref="CW9:CW10" si="16">CK9+CK13+CK17+CK21+CK25+CK29+CK33+CK37+CK41+CK45+CK49+CK53+CK57+CK61+CK65+CK69+$CT$8</f>
        <v>0.39843259038800005</v>
      </c>
      <c r="CX9" s="1">
        <f t="shared" ref="CX9" si="17">CL9+CL13+CL17+CL21+CL25+CL29+CL33+CL37+CL41+CL45+CL49+CL53+CL57+CL61+CL65+CL69+$CT$8</f>
        <v>0.24348140178300001</v>
      </c>
      <c r="CZ9" s="1">
        <v>0.198575640424</v>
      </c>
      <c r="DB9" s="1">
        <f t="shared" ref="DB9:DB25" si="18">MAX(0,CZ9)</f>
        <v>0.198575640424</v>
      </c>
      <c r="DD9" s="6">
        <v>0.23277700000000001</v>
      </c>
      <c r="DE9" s="6">
        <v>-2.7806999999999998E-2</v>
      </c>
      <c r="DF9" s="6">
        <v>0.19806499999999999</v>
      </c>
      <c r="DG9" s="6">
        <v>2.5662999999999998E-2</v>
      </c>
      <c r="DH9" s="6">
        <v>-0.155865</v>
      </c>
      <c r="DI9" s="6">
        <v>-4.1059999999999999E-2</v>
      </c>
      <c r="DJ9" s="6">
        <v>0.229297</v>
      </c>
      <c r="DK9" s="6">
        <v>0.13201099999999999</v>
      </c>
      <c r="DL9" s="6">
        <v>-0.131993</v>
      </c>
      <c r="DM9" s="6">
        <v>8.6740999999999999E-2</v>
      </c>
      <c r="DN9" s="6">
        <v>1.6076E-2</v>
      </c>
      <c r="DO9" s="6">
        <v>0.16642999999999999</v>
      </c>
      <c r="DP9" s="6">
        <v>-2.8760000000000001E-2</v>
      </c>
      <c r="DQ9" s="6">
        <v>-8.5256999999999999E-2</v>
      </c>
      <c r="DR9" s="6">
        <v>0.102047</v>
      </c>
      <c r="DS9" s="6">
        <v>-0.15671199999999999</v>
      </c>
      <c r="DT9" s="6">
        <v>-0.12595400000000001</v>
      </c>
      <c r="DU9" s="6">
        <v>-0.182361</v>
      </c>
      <c r="DW9" s="1">
        <v>0.15514593786401745</v>
      </c>
      <c r="DY9" s="6">
        <v>7.1230000000000002E-2</v>
      </c>
      <c r="EA9" s="1">
        <f t="shared" ref="EA9:EA71" si="19">MAX(0,DW9+DY9)</f>
        <v>0.22637593786401744</v>
      </c>
      <c r="EC9" s="6">
        <v>-4.41E-2</v>
      </c>
    </row>
    <row r="10" spans="2:137" s="1" customFormat="1" ht="15" customHeight="1" x14ac:dyDescent="0.35">
      <c r="B10" s="5">
        <v>0</v>
      </c>
      <c r="C10" s="5">
        <v>0</v>
      </c>
      <c r="D10" s="5">
        <v>0</v>
      </c>
      <c r="F10" s="1">
        <v>-0.14790900000000001</v>
      </c>
      <c r="G10" s="1">
        <v>-8.4245E-2</v>
      </c>
      <c r="H10" s="1">
        <v>0.198074</v>
      </c>
      <c r="J10" s="1">
        <v>0</v>
      </c>
      <c r="K10" s="1">
        <v>0</v>
      </c>
      <c r="L10" s="1">
        <v>0</v>
      </c>
      <c r="N10" s="1">
        <v>0.109446</v>
      </c>
      <c r="O10" s="1">
        <v>0.23652100000000001</v>
      </c>
      <c r="P10" s="1">
        <v>-0.17083899999999999</v>
      </c>
      <c r="R10" s="1">
        <v>-0.20333899999999999</v>
      </c>
      <c r="S10" s="1">
        <v>-4.8891999999999998E-2</v>
      </c>
      <c r="T10" s="1">
        <v>0.24123900000000001</v>
      </c>
      <c r="X10" s="1">
        <f t="shared" si="8"/>
        <v>-0.25467699999999999</v>
      </c>
      <c r="Y10" s="1">
        <f t="shared" si="9"/>
        <v>-0.10023</v>
      </c>
      <c r="Z10" s="1">
        <f t="shared" si="10"/>
        <v>0.18990100000000001</v>
      </c>
      <c r="AB10" s="1">
        <f t="shared" si="11"/>
        <v>0</v>
      </c>
      <c r="AC10" s="1">
        <f t="shared" si="12"/>
        <v>0</v>
      </c>
      <c r="AD10" s="1">
        <f t="shared" si="13"/>
        <v>0.18990100000000001</v>
      </c>
      <c r="AH10" s="1">
        <v>0</v>
      </c>
      <c r="AI10" s="1">
        <v>0</v>
      </c>
      <c r="AJ10" s="1">
        <v>5.209364232000001E-3</v>
      </c>
      <c r="AN10" s="1">
        <v>0</v>
      </c>
      <c r="AO10" s="1">
        <v>0</v>
      </c>
      <c r="AP10" s="1">
        <v>-2.9376545294000002E-2</v>
      </c>
      <c r="AT10" s="1">
        <v>0</v>
      </c>
      <c r="AU10" s="1">
        <v>0</v>
      </c>
      <c r="AV10" s="1">
        <v>5.2065157170000003E-3</v>
      </c>
      <c r="AZ10" s="1">
        <v>0</v>
      </c>
      <c r="BA10" s="1">
        <v>0</v>
      </c>
      <c r="BB10" s="1">
        <v>-2.2918771888000001E-2</v>
      </c>
      <c r="BF10" s="1">
        <f t="shared" si="6"/>
        <v>-0.10774331856500002</v>
      </c>
      <c r="BG10" s="1">
        <f t="shared" si="6"/>
        <v>-0.20835023255500001</v>
      </c>
      <c r="BH10" s="1">
        <f t="shared" si="6"/>
        <v>-0.16874697937300001</v>
      </c>
      <c r="BJ10" s="1">
        <v>-0.20361691951400002</v>
      </c>
      <c r="BL10" s="1">
        <f t="shared" si="14"/>
        <v>0</v>
      </c>
      <c r="BN10" s="1">
        <v>-0.101448</v>
      </c>
      <c r="BO10" s="1">
        <v>-9.8551E-2</v>
      </c>
      <c r="BP10" s="1">
        <v>0.14116300000000001</v>
      </c>
      <c r="BQ10" s="1">
        <v>-0.15967400000000001</v>
      </c>
      <c r="BR10" s="1">
        <v>3.3901000000000001E-2</v>
      </c>
      <c r="BS10" s="1">
        <v>4.1938999999999997E-2</v>
      </c>
      <c r="BT10" s="1">
        <v>-5.0265999999999998E-2</v>
      </c>
      <c r="BU10" s="1">
        <v>0.121891</v>
      </c>
      <c r="BV10" s="1">
        <v>8.6984000000000006E-2</v>
      </c>
      <c r="BX10" s="1" cm="1">
        <f t="array" ref="BX10:BZ12">_xlfn.WRAPROWS(_xlfn.ANCHORARRAY(BX8),3)</f>
        <v>-0.19021742142523707</v>
      </c>
      <c r="BY10" s="1">
        <v>-1.0560270803875255E-2</v>
      </c>
      <c r="BZ10" s="1">
        <v>-0.1581985893813391</v>
      </c>
      <c r="CJ10" s="1">
        <v>0</v>
      </c>
      <c r="CK10" s="1">
        <v>0</v>
      </c>
      <c r="CL10" s="1">
        <v>-2.9319385093000003E-2</v>
      </c>
      <c r="CP10" s="1">
        <v>0</v>
      </c>
      <c r="CQ10" s="1">
        <v>0</v>
      </c>
      <c r="CR10" s="1">
        <v>-4.0714774400000004E-3</v>
      </c>
      <c r="CV10" s="1">
        <f t="shared" si="15"/>
        <v>0.32880362863099999</v>
      </c>
      <c r="CW10" s="1">
        <f t="shared" si="16"/>
        <v>0.22081414182</v>
      </c>
      <c r="CX10" s="1">
        <f>CL10+CL14+CL18+CL22+CL26+CL30+CL34+CL38+CL42+CL46+CL50+CL54+CL58+CL62+CL66+CL70+$CT$8</f>
        <v>0.24597096323199999</v>
      </c>
      <c r="CZ10" s="1">
        <v>0.23244327277000001</v>
      </c>
      <c r="DB10" s="1">
        <f t="shared" si="18"/>
        <v>0.23244327277000001</v>
      </c>
      <c r="DD10" s="6">
        <v>9.8491999999999996E-2</v>
      </c>
      <c r="DE10" s="6">
        <v>-8.9610000000000002E-3</v>
      </c>
      <c r="DF10" s="6">
        <v>0.10502400000000001</v>
      </c>
      <c r="DG10" s="6">
        <v>-4.0322999999999998E-2</v>
      </c>
      <c r="DH10" s="6">
        <v>-7.3760999999999993E-2</v>
      </c>
      <c r="DI10" s="6">
        <v>0.15382599999999999</v>
      </c>
      <c r="DJ10" s="6">
        <v>9.2311000000000004E-2</v>
      </c>
      <c r="DK10" s="6">
        <v>-0.16527</v>
      </c>
      <c r="DL10" s="6">
        <v>-4.7065000000000003E-2</v>
      </c>
      <c r="DM10" s="6">
        <v>-5.6348000000000002E-2</v>
      </c>
      <c r="DN10" s="6">
        <v>4.2076000000000002E-2</v>
      </c>
      <c r="DO10" s="6">
        <v>-9.9376999999999993E-2</v>
      </c>
      <c r="DP10" s="6">
        <v>0.20704500000000001</v>
      </c>
      <c r="DQ10" s="6">
        <v>-7.3289000000000007E-2</v>
      </c>
      <c r="DR10" s="6">
        <v>-1.1224E-2</v>
      </c>
      <c r="DS10" s="6">
        <v>0.17564399999999999</v>
      </c>
      <c r="DT10" s="6">
        <v>3.5199999999999999E-4</v>
      </c>
      <c r="DU10" s="6">
        <v>-4.4114E-2</v>
      </c>
      <c r="DW10" s="1">
        <v>3.8354439222160031E-2</v>
      </c>
      <c r="DY10" s="6">
        <v>0.220086</v>
      </c>
      <c r="EA10" s="1">
        <f t="shared" si="19"/>
        <v>0.25844043922216003</v>
      </c>
      <c r="EC10" s="6">
        <v>8.0745999999999998E-2</v>
      </c>
      <c r="EE10" s="6">
        <v>-2.5198000000000002E-2</v>
      </c>
    </row>
    <row r="11" spans="2:137" s="1" customFormat="1" ht="15" customHeight="1" x14ac:dyDescent="0.35">
      <c r="BJ11" s="1">
        <v>-0.12457334089000002</v>
      </c>
      <c r="BL11" s="1">
        <f t="shared" si="14"/>
        <v>0</v>
      </c>
      <c r="BN11" s="1">
        <v>0.15499199999999999</v>
      </c>
      <c r="BO11" s="1">
        <v>6.6154000000000004E-2</v>
      </c>
      <c r="BP11" s="1">
        <v>7.8145000000000006E-2</v>
      </c>
      <c r="BQ11" s="1">
        <v>-6.9073999999999997E-2</v>
      </c>
      <c r="BR11" s="1">
        <v>-2.3890000000000002E-2</v>
      </c>
      <c r="BS11" s="1">
        <v>-5.4354E-2</v>
      </c>
      <c r="BT11" s="1">
        <v>-0.14785899999999999</v>
      </c>
      <c r="BU11" s="1">
        <v>-0.13258</v>
      </c>
      <c r="BV11" s="1">
        <v>-3.5652000000000003E-2</v>
      </c>
      <c r="BX11" s="1">
        <v>4.3958393225683713E-2</v>
      </c>
      <c r="BY11" s="1">
        <v>-0.30451117461256721</v>
      </c>
      <c r="BZ11" s="1">
        <v>0.24819322140685574</v>
      </c>
      <c r="CZ11" s="1">
        <v>0.25603020533600002</v>
      </c>
      <c r="DB11" s="1">
        <f t="shared" si="18"/>
        <v>0.25603020533600002</v>
      </c>
      <c r="DD11" s="6">
        <v>-0.172623</v>
      </c>
      <c r="DE11" s="6">
        <v>6.8715999999999999E-2</v>
      </c>
      <c r="DF11" s="6">
        <v>4.8700000000000002E-3</v>
      </c>
      <c r="DG11" s="6">
        <v>-6.7343E-2</v>
      </c>
      <c r="DH11" s="6">
        <v>-6.6819999999999996E-3</v>
      </c>
      <c r="DI11" s="6">
        <v>-0.100883</v>
      </c>
      <c r="DJ11" s="6">
        <v>-8.0377000000000004E-2</v>
      </c>
      <c r="DK11" s="6">
        <v>0.19834199999999999</v>
      </c>
      <c r="DL11" s="6">
        <v>0.168852</v>
      </c>
      <c r="DM11" s="6">
        <v>-8.5499000000000006E-2</v>
      </c>
      <c r="DN11" s="6">
        <v>-0.17810599999999999</v>
      </c>
      <c r="DO11" s="6">
        <v>-0.114428</v>
      </c>
      <c r="DP11" s="6">
        <v>0.29750399999999999</v>
      </c>
      <c r="DQ11" s="6">
        <v>-3.4833999999999997E-2</v>
      </c>
      <c r="DR11" s="6">
        <v>0.18204799999999999</v>
      </c>
      <c r="DS11" s="6">
        <v>0.26392700000000002</v>
      </c>
      <c r="DT11" s="6">
        <v>9.2086000000000001E-2</v>
      </c>
      <c r="DU11" s="6">
        <v>-8.9987999999999999E-2</v>
      </c>
      <c r="DW11" s="1">
        <v>-6.6655096558005694E-2</v>
      </c>
      <c r="DY11" s="6">
        <v>0.102552</v>
      </c>
      <c r="EA11" s="1">
        <f t="shared" si="19"/>
        <v>3.589690344199431E-2</v>
      </c>
      <c r="EC11" s="6">
        <v>3.6754000000000002E-2</v>
      </c>
    </row>
    <row r="12" spans="2:137" s="1" customFormat="1" ht="15" customHeight="1" x14ac:dyDescent="0.35">
      <c r="B12" s="5">
        <v>0</v>
      </c>
      <c r="C12" s="5">
        <v>0</v>
      </c>
      <c r="D12" s="5">
        <v>0</v>
      </c>
      <c r="F12" s="1">
        <v>-7.4518000000000001E-2</v>
      </c>
      <c r="G12" s="1">
        <v>0.23325399999999999</v>
      </c>
      <c r="H12" s="1">
        <v>6.1149999999999998E-3</v>
      </c>
      <c r="J12" s="1" cm="1">
        <f t="array" ref="J12:L14">Conv2D($B$8:$D$10,F12:H14)</f>
        <v>0</v>
      </c>
      <c r="K12" s="1">
        <v>0</v>
      </c>
      <c r="L12" s="1">
        <v>0</v>
      </c>
      <c r="N12" s="1">
        <v>7.6870999999999995E-2</v>
      </c>
      <c r="O12" s="1">
        <v>-1.9091E-2</v>
      </c>
      <c r="P12" s="1">
        <v>-9.9678000000000003E-2</v>
      </c>
      <c r="R12" s="1" cm="1">
        <f t="array" ref="R12:T14">Conv2D($B$12:$D$14,N12:P14)</f>
        <v>0.10975</v>
      </c>
      <c r="S12" s="1">
        <v>-0.17305000000000001</v>
      </c>
      <c r="T12" s="1">
        <v>0.349719</v>
      </c>
      <c r="V12" s="1">
        <v>0.24513699999999999</v>
      </c>
      <c r="X12" s="1">
        <f>J12+R12+$V$8</f>
        <v>5.8411999999999999E-2</v>
      </c>
      <c r="Y12" s="1">
        <f t="shared" ref="Y12:Y14" si="20">K12+S12+$V$8</f>
        <v>-0.224388</v>
      </c>
      <c r="Z12" s="1">
        <f t="shared" ref="Z12:Z14" si="21">L12+T12+$V$8</f>
        <v>0.29838100000000001</v>
      </c>
      <c r="AB12" s="1">
        <f>MAX(0,X12)</f>
        <v>5.8411999999999999E-2</v>
      </c>
      <c r="AC12" s="1">
        <f t="shared" ref="AC12:AC14" si="22">MAX(0,Y12)</f>
        <v>0</v>
      </c>
      <c r="AD12" s="1">
        <f t="shared" ref="AD12:AD14" si="23">MAX(0,Z12)</f>
        <v>0.29838100000000001</v>
      </c>
      <c r="AF12" s="1">
        <v>-0.101218</v>
      </c>
      <c r="AH12" s="1" cm="1">
        <f t="array" ref="AH12:AJ14">Conv($AB$12:$AD$14,AF12)</f>
        <v>-5.9123458159999996E-3</v>
      </c>
      <c r="AI12" s="1">
        <v>0</v>
      </c>
      <c r="AJ12" s="1">
        <v>-3.0201528058000002E-2</v>
      </c>
      <c r="AL12" s="1">
        <v>0.50620699999999996</v>
      </c>
      <c r="AN12" s="1" cm="1">
        <f t="array" ref="AN12:AP14">Conv($AB$12:$AD$14,AL12)</f>
        <v>2.9568563283999996E-2</v>
      </c>
      <c r="AO12" s="1">
        <v>0</v>
      </c>
      <c r="AP12" s="1">
        <v>0.151042550867</v>
      </c>
      <c r="AR12" s="1">
        <v>-5.7828999999999998E-2</v>
      </c>
      <c r="AT12" s="1" cm="1">
        <f t="array" ref="AT12:AV14">Conv($AB$12:$AD$14,AR12)</f>
        <v>-3.3779075479999999E-3</v>
      </c>
      <c r="AU12" s="1">
        <v>0</v>
      </c>
      <c r="AV12" s="1">
        <v>-1.7255074849000001E-2</v>
      </c>
      <c r="AX12" s="1">
        <v>0.26497100000000001</v>
      </c>
      <c r="AZ12" s="1" cm="1">
        <f t="array" ref="AZ12:BB14">Conv($AB$12:$AD$14,AX12)</f>
        <v>1.5477486052E-2</v>
      </c>
      <c r="BA12" s="1">
        <v>0</v>
      </c>
      <c r="BB12" s="1">
        <v>7.9062311951000011E-2</v>
      </c>
      <c r="BD12" s="1">
        <v>0.32562099999999999</v>
      </c>
      <c r="BF12" s="1">
        <f t="shared" ref="BF12:BH14" si="24">AN8+AN12+AN16+AN20+AN24+AN28+AN32+AN36+AN40+AN44+AN48+AN52+AN56+AN60+AN64+AN68+$BD$12</f>
        <v>0.26612654870300001</v>
      </c>
      <c r="BG12" s="1">
        <f t="shared" si="24"/>
        <v>0.19246213600700002</v>
      </c>
      <c r="BH12" s="1">
        <f t="shared" si="24"/>
        <v>0.55320934708000002</v>
      </c>
      <c r="BJ12" s="1">
        <v>-0.10300511942900001</v>
      </c>
      <c r="BL12" s="1">
        <f t="shared" si="14"/>
        <v>0</v>
      </c>
      <c r="BN12" s="1">
        <v>1.7210000000000001E-3</v>
      </c>
      <c r="BO12" s="1">
        <v>8.6891999999999997E-2</v>
      </c>
      <c r="BP12" s="1">
        <v>-2.3039E-2</v>
      </c>
      <c r="BQ12" s="1">
        <v>-6.8360000000000001E-3</v>
      </c>
      <c r="BR12" s="1">
        <v>0.104339</v>
      </c>
      <c r="BS12" s="1">
        <v>-8.8697999999999999E-2</v>
      </c>
      <c r="BT12" s="1">
        <v>-2.9675E-2</v>
      </c>
      <c r="BU12" s="1">
        <v>0.123748</v>
      </c>
      <c r="BV12" s="1">
        <v>0.101214</v>
      </c>
      <c r="BX12" s="1">
        <v>-0.14112114486832852</v>
      </c>
      <c r="BY12" s="1">
        <v>-0.18542822938741926</v>
      </c>
      <c r="BZ12" s="1">
        <v>3.2134628029450697E-2</v>
      </c>
      <c r="CH12" s="1">
        <v>3.7442999999999997E-2</v>
      </c>
      <c r="CJ12" s="1" cm="1">
        <f t="array" ref="CJ12:CL14">Conv($AB$12:$AD$14,CH12)</f>
        <v>2.187120516E-3</v>
      </c>
      <c r="CK12" s="1">
        <v>0</v>
      </c>
      <c r="CL12" s="1">
        <v>1.1172279783E-2</v>
      </c>
      <c r="CN12" s="1">
        <v>0.16295699999999999</v>
      </c>
      <c r="CP12" s="1" cm="1">
        <f t="array" ref="CP12:CR14">Conv($AB$12:$AD$14,CN12)</f>
        <v>9.5186442839999986E-3</v>
      </c>
      <c r="CQ12" s="1">
        <v>0</v>
      </c>
      <c r="CR12" s="1">
        <v>4.8623272617000002E-2</v>
      </c>
      <c r="CT12" s="1">
        <v>2.9663999999999999E-2</v>
      </c>
      <c r="CV12" s="1">
        <f t="shared" ref="CV12:CX14" si="25">CP8+CP12+CP16+CP20+CP24+CP28+CP32+CP36+CP40+CP44+CP48+CP52+CP56+CP60+CP64+CP68+$CT$12</f>
        <v>-3.3920341127000014E-2</v>
      </c>
      <c r="CW12" s="1">
        <f t="shared" si="25"/>
        <v>3.7455616380000001E-2</v>
      </c>
      <c r="CX12" s="1">
        <f t="shared" si="25"/>
        <v>7.5650918320999988E-2</v>
      </c>
      <c r="CZ12" s="1">
        <v>0.39843259038800005</v>
      </c>
      <c r="DB12" s="1">
        <f t="shared" si="18"/>
        <v>0.39843259038800005</v>
      </c>
      <c r="DD12" s="6">
        <v>-0.15098</v>
      </c>
      <c r="DE12" s="6">
        <v>0.15593899999999999</v>
      </c>
      <c r="DF12" s="6">
        <v>1.9740000000000001E-2</v>
      </c>
      <c r="DG12" s="6">
        <v>-5.8296000000000001E-2</v>
      </c>
      <c r="DH12" s="6">
        <v>3.3916000000000002E-2</v>
      </c>
      <c r="DI12" s="6">
        <v>7.5003E-2</v>
      </c>
      <c r="DJ12" s="6">
        <v>-0.17696000000000001</v>
      </c>
      <c r="DK12" s="6">
        <v>-0.11142100000000001</v>
      </c>
      <c r="DL12" s="6">
        <v>3.4155999999999999E-2</v>
      </c>
      <c r="DM12" s="6">
        <v>1.6441999999999998E-2</v>
      </c>
      <c r="DN12" s="6">
        <v>-9.9929000000000004E-2</v>
      </c>
      <c r="DO12" s="6">
        <v>4.5192999999999997E-2</v>
      </c>
      <c r="DP12" s="6">
        <v>2.4025000000000001E-2</v>
      </c>
      <c r="DQ12" s="6">
        <v>-0.21367</v>
      </c>
      <c r="DR12" s="6">
        <v>-0.19209200000000001</v>
      </c>
      <c r="DS12" s="6">
        <v>-0.176368</v>
      </c>
      <c r="DT12" s="6">
        <v>-0.205036</v>
      </c>
      <c r="DU12" s="6">
        <v>1.1618E-2</v>
      </c>
      <c r="DW12" s="1">
        <v>-8.8668995914349638E-2</v>
      </c>
      <c r="DY12" s="6">
        <v>-5.4899000000000003E-2</v>
      </c>
      <c r="EA12" s="1">
        <f t="shared" si="19"/>
        <v>0</v>
      </c>
      <c r="EC12" s="6">
        <v>-5.8215999999999997E-2</v>
      </c>
    </row>
    <row r="13" spans="2:137" s="1" customFormat="1" ht="15" customHeight="1" x14ac:dyDescent="0.35">
      <c r="B13" s="5">
        <v>0</v>
      </c>
      <c r="C13" s="5">
        <v>1</v>
      </c>
      <c r="D13" s="5">
        <v>0</v>
      </c>
      <c r="F13" s="1">
        <v>0.18565699999999999</v>
      </c>
      <c r="G13" s="1">
        <v>-4.6385999999999997E-2</v>
      </c>
      <c r="H13" s="1">
        <v>-3.5115E-2</v>
      </c>
      <c r="J13" s="1">
        <v>0</v>
      </c>
      <c r="K13" s="1">
        <v>0</v>
      </c>
      <c r="L13" s="1">
        <v>0</v>
      </c>
      <c r="N13" s="1">
        <v>-0.21982499999999999</v>
      </c>
      <c r="O13" s="1">
        <v>-0.16253999999999999</v>
      </c>
      <c r="P13" s="1">
        <v>0.31139899999999998</v>
      </c>
      <c r="R13" s="1">
        <v>0.31139899999999998</v>
      </c>
      <c r="S13" s="1">
        <v>-0.16253999999999999</v>
      </c>
      <c r="T13" s="1">
        <v>-0.21982499999999999</v>
      </c>
      <c r="X13" s="1">
        <f t="shared" ref="X13:X14" si="26">J13+R13+$V$8</f>
        <v>0.26006099999999999</v>
      </c>
      <c r="Y13" s="1">
        <f t="shared" si="20"/>
        <v>-0.21387799999999998</v>
      </c>
      <c r="Z13" s="1">
        <f t="shared" si="21"/>
        <v>-0.27116299999999999</v>
      </c>
      <c r="AB13" s="1">
        <f t="shared" ref="AB13:AB14" si="27">MAX(0,X13)</f>
        <v>0.26006099999999999</v>
      </c>
      <c r="AC13" s="1">
        <f t="shared" si="22"/>
        <v>0</v>
      </c>
      <c r="AD13" s="1">
        <f t="shared" si="23"/>
        <v>0</v>
      </c>
      <c r="AH13" s="1">
        <v>-2.6322854297999999E-2</v>
      </c>
      <c r="AI13" s="1">
        <v>0</v>
      </c>
      <c r="AJ13" s="1">
        <v>0</v>
      </c>
      <c r="AN13" s="1">
        <v>0.13164469862699998</v>
      </c>
      <c r="AO13" s="1">
        <v>0</v>
      </c>
      <c r="AP13" s="1">
        <v>0</v>
      </c>
      <c r="AT13" s="1">
        <v>-1.5039067569E-2</v>
      </c>
      <c r="AU13" s="1">
        <v>0</v>
      </c>
      <c r="AV13" s="1">
        <v>0</v>
      </c>
      <c r="AZ13" s="1">
        <v>6.8908623230999999E-2</v>
      </c>
      <c r="BA13" s="1">
        <v>0</v>
      </c>
      <c r="BB13" s="1">
        <v>0</v>
      </c>
      <c r="BF13" s="1">
        <f t="shared" si="24"/>
        <v>0.50229920516100002</v>
      </c>
      <c r="BG13" s="1">
        <f t="shared" si="24"/>
        <v>0.22497944657300001</v>
      </c>
      <c r="BH13" s="1">
        <f t="shared" si="24"/>
        <v>0.29687924346599998</v>
      </c>
      <c r="BJ13" s="1">
        <v>-0.13909796294700003</v>
      </c>
      <c r="BL13" s="1">
        <f t="shared" si="14"/>
        <v>0</v>
      </c>
      <c r="BN13" s="1">
        <v>-0.160747</v>
      </c>
      <c r="BO13" s="1">
        <v>3.4664E-2</v>
      </c>
      <c r="BP13" s="1">
        <v>0.12071900000000001</v>
      </c>
      <c r="BQ13" s="1">
        <v>-0.16103400000000001</v>
      </c>
      <c r="BR13" s="1">
        <v>5.9993999999999999E-2</v>
      </c>
      <c r="BS13" s="1">
        <v>-0.140707</v>
      </c>
      <c r="BT13" s="1">
        <v>-2.1638999999999999E-2</v>
      </c>
      <c r="BU13" s="1">
        <v>-7.5855000000000006E-2</v>
      </c>
      <c r="BV13" s="1">
        <v>-2.61E-4</v>
      </c>
      <c r="CJ13" s="1">
        <v>9.737464022999999E-3</v>
      </c>
      <c r="CK13" s="1">
        <v>0</v>
      </c>
      <c r="CL13" s="1">
        <v>0</v>
      </c>
      <c r="CP13" s="1">
        <v>4.2378760376999995E-2</v>
      </c>
      <c r="CQ13" s="1">
        <v>0</v>
      </c>
      <c r="CR13" s="1">
        <v>0</v>
      </c>
      <c r="CV13" s="1">
        <f t="shared" si="25"/>
        <v>-3.5220335923000015E-2</v>
      </c>
      <c r="CW13" s="1">
        <f t="shared" si="25"/>
        <v>-2.1115557797000004E-2</v>
      </c>
      <c r="CX13" s="1">
        <f t="shared" si="25"/>
        <v>-2.2652589121000013E-2</v>
      </c>
      <c r="CZ13" s="1">
        <v>0.24348140178300001</v>
      </c>
      <c r="DB13" s="1">
        <f t="shared" si="18"/>
        <v>0.24348140178300001</v>
      </c>
      <c r="DD13" s="6">
        <v>-0.205952</v>
      </c>
      <c r="DE13" s="6">
        <v>0.134107</v>
      </c>
      <c r="DF13" s="6">
        <v>-0.13903299999999999</v>
      </c>
      <c r="DG13" s="6">
        <v>-0.177062</v>
      </c>
      <c r="DH13" s="6">
        <v>0.122961</v>
      </c>
      <c r="DI13" s="6">
        <v>-7.4260999999999994E-2</v>
      </c>
      <c r="DJ13" s="6">
        <v>-0.15786600000000001</v>
      </c>
      <c r="DK13" s="6">
        <v>-0.13618</v>
      </c>
      <c r="DL13" s="6">
        <v>0.22936000000000001</v>
      </c>
      <c r="DM13" s="6">
        <v>0.200271</v>
      </c>
      <c r="DN13" s="6">
        <v>-0.123894</v>
      </c>
      <c r="DO13" s="6">
        <v>0.240506</v>
      </c>
      <c r="DP13" s="6">
        <v>-0.11641</v>
      </c>
      <c r="DQ13" s="6">
        <v>-7.8948000000000004E-2</v>
      </c>
      <c r="DR13" s="6">
        <v>0.192464</v>
      </c>
      <c r="DS13" s="6">
        <v>0.192858</v>
      </c>
      <c r="DT13" s="6">
        <v>0.237343</v>
      </c>
      <c r="DU13" s="6">
        <v>-5.7618999999999997E-2</v>
      </c>
      <c r="DW13" s="1">
        <v>-0.12595909205720146</v>
      </c>
      <c r="DY13" s="6">
        <v>-5.2339999999999998E-2</v>
      </c>
      <c r="EA13" s="1">
        <f t="shared" si="19"/>
        <v>0</v>
      </c>
      <c r="EC13" s="6">
        <v>0.175706</v>
      </c>
    </row>
    <row r="14" spans="2:137" s="1" customFormat="1" ht="15" customHeight="1" x14ac:dyDescent="0.35">
      <c r="B14" s="5">
        <v>0</v>
      </c>
      <c r="C14" s="5">
        <v>0</v>
      </c>
      <c r="D14" s="5">
        <v>0</v>
      </c>
      <c r="F14" s="1">
        <v>2.3102999999999999E-2</v>
      </c>
      <c r="G14" s="1">
        <v>1.8876E-2</v>
      </c>
      <c r="H14" s="1">
        <v>0.215729</v>
      </c>
      <c r="J14" s="1">
        <v>0</v>
      </c>
      <c r="K14" s="1">
        <v>0</v>
      </c>
      <c r="L14" s="1">
        <v>0</v>
      </c>
      <c r="N14" s="1">
        <v>0.349719</v>
      </c>
      <c r="O14" s="1">
        <v>-0.17305000000000001</v>
      </c>
      <c r="P14" s="1">
        <v>0.10975</v>
      </c>
      <c r="R14" s="1">
        <v>-9.9678000000000003E-2</v>
      </c>
      <c r="S14" s="1">
        <v>-1.9091E-2</v>
      </c>
      <c r="T14" s="1">
        <v>7.6870999999999995E-2</v>
      </c>
      <c r="X14" s="1">
        <f t="shared" si="26"/>
        <v>-0.15101600000000001</v>
      </c>
      <c r="Y14" s="1">
        <f t="shared" si="20"/>
        <v>-7.0429000000000005E-2</v>
      </c>
      <c r="Z14" s="1">
        <f t="shared" si="21"/>
        <v>2.5532999999999993E-2</v>
      </c>
      <c r="AB14" s="1">
        <f t="shared" si="27"/>
        <v>0</v>
      </c>
      <c r="AC14" s="1">
        <f t="shared" si="22"/>
        <v>0</v>
      </c>
      <c r="AD14" s="1">
        <f t="shared" si="23"/>
        <v>2.5532999999999993E-2</v>
      </c>
      <c r="AH14" s="1">
        <v>0</v>
      </c>
      <c r="AI14" s="1">
        <v>0</v>
      </c>
      <c r="AJ14" s="1">
        <v>-2.5843991939999995E-3</v>
      </c>
      <c r="AN14" s="1">
        <v>0</v>
      </c>
      <c r="AO14" s="1">
        <v>0</v>
      </c>
      <c r="AP14" s="1">
        <v>1.2924983330999996E-2</v>
      </c>
      <c r="AT14" s="1">
        <v>0</v>
      </c>
      <c r="AU14" s="1">
        <v>0</v>
      </c>
      <c r="AV14" s="1">
        <v>-1.4765478569999995E-3</v>
      </c>
      <c r="AZ14" s="1">
        <v>0</v>
      </c>
      <c r="BA14" s="1">
        <v>0</v>
      </c>
      <c r="BB14" s="1">
        <v>6.7655045429999986E-3</v>
      </c>
      <c r="BF14" s="1">
        <f t="shared" si="24"/>
        <v>0.33852816355100002</v>
      </c>
      <c r="BG14" s="1">
        <f t="shared" si="24"/>
        <v>0.24727637329399998</v>
      </c>
      <c r="BH14" s="1">
        <f t="shared" si="24"/>
        <v>0.28106559923300001</v>
      </c>
      <c r="BJ14" s="1">
        <v>-0.10774331856500002</v>
      </c>
      <c r="BL14" s="1">
        <f t="shared" si="14"/>
        <v>0</v>
      </c>
      <c r="BN14" s="1">
        <v>-8.8836999999999999E-2</v>
      </c>
      <c r="BO14" s="1">
        <v>-5.3678999999999998E-2</v>
      </c>
      <c r="BP14" s="1">
        <v>-6.7209000000000005E-2</v>
      </c>
      <c r="BQ14" s="1">
        <v>2.4358000000000001E-2</v>
      </c>
      <c r="BR14" s="1">
        <v>-0.131297</v>
      </c>
      <c r="BS14" s="1">
        <v>-0.120725</v>
      </c>
      <c r="BT14" s="1">
        <v>-0.14316300000000001</v>
      </c>
      <c r="BU14" s="1">
        <v>6.5187999999999996E-2</v>
      </c>
      <c r="BV14" s="1">
        <v>-1.5799999999999999E-4</v>
      </c>
      <c r="CJ14" s="1">
        <v>0</v>
      </c>
      <c r="CK14" s="1">
        <v>0</v>
      </c>
      <c r="CL14" s="1">
        <v>9.5603211899999963E-4</v>
      </c>
      <c r="CP14" s="1">
        <v>0</v>
      </c>
      <c r="CQ14" s="1">
        <v>0</v>
      </c>
      <c r="CR14" s="1">
        <v>4.1607810809999989E-3</v>
      </c>
      <c r="CV14" s="1">
        <f t="shared" si="25"/>
        <v>-4.0401350197000002E-2</v>
      </c>
      <c r="CW14" s="1">
        <f t="shared" si="25"/>
        <v>-4.8730410717000017E-2</v>
      </c>
      <c r="CX14" s="1">
        <f t="shared" si="25"/>
        <v>4.5163262841000001E-2</v>
      </c>
      <c r="CZ14" s="1">
        <v>0.32880362863099999</v>
      </c>
      <c r="DB14" s="1">
        <f t="shared" si="18"/>
        <v>0.32880362863099999</v>
      </c>
      <c r="DD14" s="6">
        <v>-0.25796000000000002</v>
      </c>
      <c r="DE14" s="6">
        <v>-3.2777000000000001E-2</v>
      </c>
      <c r="DF14" s="6">
        <v>0.15512899999999999</v>
      </c>
      <c r="DG14" s="6">
        <v>0.26489099999999999</v>
      </c>
      <c r="DH14" s="6">
        <v>-7.1617E-2</v>
      </c>
      <c r="DI14" s="6">
        <v>0.138572</v>
      </c>
      <c r="DJ14" s="6">
        <v>-0.268928</v>
      </c>
      <c r="DK14" s="6">
        <v>-0.105722</v>
      </c>
      <c r="DL14" s="6">
        <v>-0.22855800000000001</v>
      </c>
      <c r="DM14" s="6">
        <v>-9.5629000000000006E-2</v>
      </c>
      <c r="DN14" s="6">
        <v>-5.7945999999999998E-2</v>
      </c>
      <c r="DO14" s="6">
        <v>0.23042299999999999</v>
      </c>
      <c r="DP14" s="6">
        <v>0.318994</v>
      </c>
      <c r="DQ14" s="6">
        <v>0.17601800000000001</v>
      </c>
      <c r="DR14" s="6">
        <v>0.21258299999999999</v>
      </c>
      <c r="DS14" s="6">
        <v>0.15690599999999999</v>
      </c>
      <c r="DT14" s="6">
        <v>0.153196</v>
      </c>
      <c r="DU14" s="6">
        <v>-7.7899999999999996E-4</v>
      </c>
      <c r="DW14" s="1">
        <v>-0.16446667295145861</v>
      </c>
      <c r="DY14" s="6">
        <v>0.235018</v>
      </c>
      <c r="EA14" s="1">
        <f t="shared" si="19"/>
        <v>7.055132704854139E-2</v>
      </c>
      <c r="EC14" s="6">
        <v>9.2270000000000005E-2</v>
      </c>
    </row>
    <row r="15" spans="2:137" s="1" customFormat="1" ht="15" customHeight="1" x14ac:dyDescent="0.35">
      <c r="BJ15" s="1">
        <v>-0.20835023255500001</v>
      </c>
      <c r="BL15" s="1">
        <f t="shared" si="14"/>
        <v>0</v>
      </c>
      <c r="BN15" s="1">
        <v>-2.918E-3</v>
      </c>
      <c r="BO15" s="1">
        <v>7.8469999999999998E-3</v>
      </c>
      <c r="BP15" s="1">
        <v>-6.3240000000000005E-2</v>
      </c>
      <c r="BQ15" s="1">
        <v>-0.107068</v>
      </c>
      <c r="BR15" s="1">
        <v>-2.7234999999999999E-2</v>
      </c>
      <c r="BS15" s="1">
        <v>-2.8108999999999999E-2</v>
      </c>
      <c r="BT15" s="1">
        <v>0.15012400000000001</v>
      </c>
      <c r="BU15" s="1">
        <v>2.2981999999999999E-2</v>
      </c>
      <c r="BV15" s="1">
        <v>5.2909999999999997E-3</v>
      </c>
      <c r="CZ15" s="1">
        <v>0.22081414182</v>
      </c>
      <c r="DB15" s="1">
        <f t="shared" si="18"/>
        <v>0.22081414182</v>
      </c>
      <c r="DD15" s="6">
        <v>0.22256300000000001</v>
      </c>
      <c r="DE15" s="6">
        <v>-0.105947</v>
      </c>
      <c r="DF15" s="6">
        <v>-0.107249</v>
      </c>
      <c r="DG15" s="6">
        <v>-0.188358</v>
      </c>
      <c r="DH15" s="6">
        <v>0.157972</v>
      </c>
      <c r="DI15" s="6">
        <v>-0.13559199999999999</v>
      </c>
      <c r="DJ15" s="6">
        <v>-4.4447E-2</v>
      </c>
      <c r="DK15" s="6">
        <v>-2.8222000000000001E-2</v>
      </c>
      <c r="DL15" s="6">
        <v>0.15834200000000001</v>
      </c>
      <c r="DM15" s="6">
        <v>-0.113748</v>
      </c>
      <c r="DN15" s="6">
        <v>-1.3428000000000001E-2</v>
      </c>
      <c r="DO15" s="6">
        <v>-4.7333E-2</v>
      </c>
      <c r="DP15" s="6">
        <v>-0.17163500000000001</v>
      </c>
      <c r="DQ15" s="6">
        <v>6.4338999999999993E-2</v>
      </c>
      <c r="DR15" s="6">
        <v>0.224857</v>
      </c>
      <c r="DS15" s="6">
        <v>-6.5849000000000005E-2</v>
      </c>
      <c r="DT15" s="6">
        <v>0.16925699999999999</v>
      </c>
      <c r="DU15" s="6">
        <v>0.15959899999999999</v>
      </c>
      <c r="DW15" s="1">
        <v>5.5558185904355274E-2</v>
      </c>
      <c r="DY15" s="6">
        <v>-1.2394000000000001E-2</v>
      </c>
      <c r="EA15" s="1">
        <f t="shared" si="19"/>
        <v>4.3164185904355272E-2</v>
      </c>
      <c r="EC15" s="6">
        <v>-0.129741</v>
      </c>
    </row>
    <row r="16" spans="2:137" s="1" customFormat="1" ht="15" customHeight="1" x14ac:dyDescent="0.35">
      <c r="F16" s="1">
        <v>-7.0693000000000006E-2</v>
      </c>
      <c r="G16" s="1">
        <v>-0.114815</v>
      </c>
      <c r="H16" s="1">
        <v>0.242004</v>
      </c>
      <c r="J16" s="1" cm="1">
        <f t="array" ref="J16:L18">Conv2D($B$8:$D$10,F16:H18)</f>
        <v>0</v>
      </c>
      <c r="K16" s="1">
        <v>0</v>
      </c>
      <c r="L16" s="1">
        <v>0</v>
      </c>
      <c r="N16" s="1">
        <v>-0.157418</v>
      </c>
      <c r="O16" s="1">
        <v>0.25504500000000002</v>
      </c>
      <c r="P16" s="1">
        <v>0.40225899999999998</v>
      </c>
      <c r="R16" s="1" cm="1">
        <f t="array" ref="R16:T18">Conv2D($B$12:$D$14,N16:P18)</f>
        <v>-0.15995599999999999</v>
      </c>
      <c r="S16" s="1">
        <v>4.3764999999999998E-2</v>
      </c>
      <c r="T16" s="1">
        <v>-0.15818699999999999</v>
      </c>
      <c r="V16" s="1">
        <v>-6.574E-3</v>
      </c>
      <c r="X16" s="1">
        <f>J16+R16+$V$8</f>
        <v>-0.21129399999999998</v>
      </c>
      <c r="Y16" s="1">
        <f t="shared" ref="Y16:Y18" si="28">K16+S16+$V$8</f>
        <v>-7.5730000000000033E-3</v>
      </c>
      <c r="Z16" s="1">
        <f t="shared" ref="Z16:Z18" si="29">L16+T16+$V$8</f>
        <v>-0.20952499999999999</v>
      </c>
      <c r="AB16" s="1">
        <f>MAX(0,X16)</f>
        <v>0</v>
      </c>
      <c r="AC16" s="1">
        <f t="shared" ref="AC16:AC18" si="30">MAX(0,Y16)</f>
        <v>0</v>
      </c>
      <c r="AD16" s="1">
        <f t="shared" ref="AD16:AD18" si="31">MAX(0,Z16)</f>
        <v>0</v>
      </c>
      <c r="AF16" s="1">
        <v>6.6985000000000003E-2</v>
      </c>
      <c r="AH16" s="1" cm="1">
        <f t="array" ref="AH16:AJ18">Conv($AB$16:$AD$18,AF16)</f>
        <v>0</v>
      </c>
      <c r="AI16" s="1">
        <v>0</v>
      </c>
      <c r="AJ16" s="1">
        <v>0</v>
      </c>
      <c r="AL16" s="1">
        <v>-4.3354999999999998E-2</v>
      </c>
      <c r="AN16" s="1" cm="1">
        <f t="array" ref="AN16:AP18">Conv($AB$16:$AD$18,AL16)</f>
        <v>0</v>
      </c>
      <c r="AO16" s="1">
        <v>0</v>
      </c>
      <c r="AP16" s="1">
        <v>0</v>
      </c>
      <c r="AR16" s="1">
        <v>0.27895300000000001</v>
      </c>
      <c r="AT16" s="1" cm="1">
        <f t="array" ref="AT16:AV18">Conv($AB$16:$AD$18,AR16)</f>
        <v>0</v>
      </c>
      <c r="AU16" s="1">
        <v>0</v>
      </c>
      <c r="AV16" s="1">
        <v>0</v>
      </c>
      <c r="AX16" s="1">
        <v>-0.171234</v>
      </c>
      <c r="AZ16" s="1" cm="1">
        <f t="array" ref="AZ16:BB18">Conv($AB$16:$AD$18,AX16)</f>
        <v>0</v>
      </c>
      <c r="BA16" s="1">
        <v>0</v>
      </c>
      <c r="BB16" s="1">
        <v>0</v>
      </c>
      <c r="BD16" s="1">
        <v>-0.15212600000000001</v>
      </c>
      <c r="BF16" s="1">
        <f t="shared" ref="BF16:BH18" si="32">AT8+AT12+AT16+AT20+AT24+AT28+AT32+AT36+AT40+AT44+AT48+AT52+AT56+AT60+AT64+AT68+$BD$16</f>
        <v>-3.3716344391999983E-2</v>
      </c>
      <c r="BG16" s="1">
        <f t="shared" si="32"/>
        <v>0.21054984076700003</v>
      </c>
      <c r="BH16" s="1">
        <f t="shared" si="32"/>
        <v>-0.109186046047</v>
      </c>
      <c r="BJ16" s="1">
        <v>-0.16874697937300001</v>
      </c>
      <c r="BL16" s="1">
        <f t="shared" si="14"/>
        <v>0</v>
      </c>
      <c r="BN16" s="1">
        <v>0.131494</v>
      </c>
      <c r="BO16" s="1">
        <v>4.5372999999999997E-2</v>
      </c>
      <c r="BP16" s="1">
        <v>-0.15237700000000001</v>
      </c>
      <c r="BQ16" s="1">
        <v>4.9209999999999997E-2</v>
      </c>
      <c r="BR16" s="1">
        <v>1.2526000000000001E-2</v>
      </c>
      <c r="BS16" s="1">
        <v>0.14944199999999999</v>
      </c>
      <c r="BT16" s="1">
        <v>0.13577700000000001</v>
      </c>
      <c r="BU16" s="1">
        <v>-0.140177</v>
      </c>
      <c r="BV16" s="1">
        <v>-0.116396</v>
      </c>
      <c r="CH16" s="1">
        <v>0.136293</v>
      </c>
      <c r="CJ16" s="1" cm="1">
        <f t="array" ref="CJ16:CL18">Conv($AB$16:$AD$18,CH16)</f>
        <v>0</v>
      </c>
      <c r="CK16" s="1">
        <v>0</v>
      </c>
      <c r="CL16" s="1">
        <v>0</v>
      </c>
      <c r="CN16" s="1">
        <v>-0.15001800000000001</v>
      </c>
      <c r="CP16" s="1" cm="1">
        <f t="array" ref="CP16:CR18">Conv($AB$16:$AD$18,CN16)</f>
        <v>0</v>
      </c>
      <c r="CQ16" s="1">
        <v>0</v>
      </c>
      <c r="CR16" s="1">
        <v>0</v>
      </c>
      <c r="CZ16" s="1">
        <v>0.24597096323199999</v>
      </c>
      <c r="DB16" s="1">
        <f t="shared" si="18"/>
        <v>0.24597096323199999</v>
      </c>
      <c r="DD16" s="6">
        <v>-0.205288</v>
      </c>
      <c r="DE16" s="6">
        <v>4.8654000000000003E-2</v>
      </c>
      <c r="DF16" s="6">
        <v>-7.3457999999999996E-2</v>
      </c>
      <c r="DG16" s="6">
        <v>0.215948</v>
      </c>
      <c r="DH16" s="6">
        <v>-0.170817</v>
      </c>
      <c r="DI16" s="6">
        <v>-3.0002999999999998E-2</v>
      </c>
      <c r="DJ16" s="6">
        <v>0.103051</v>
      </c>
      <c r="DK16" s="6">
        <v>0.23059399999999999</v>
      </c>
      <c r="DL16" s="6">
        <v>6.8156999999999995E-2</v>
      </c>
      <c r="DM16" s="6">
        <v>-9.3673000000000006E-2</v>
      </c>
      <c r="DN16" s="6">
        <v>0.181593</v>
      </c>
      <c r="DO16" s="6">
        <v>8.5624000000000006E-2</v>
      </c>
      <c r="DP16" s="6">
        <v>5.4385999999999997E-2</v>
      </c>
      <c r="DQ16" s="6">
        <v>-9.3115000000000003E-2</v>
      </c>
      <c r="DR16" s="6">
        <v>0.233455</v>
      </c>
      <c r="DS16" s="6">
        <v>0.132192</v>
      </c>
      <c r="DT16" s="6">
        <v>-0.11908000000000001</v>
      </c>
      <c r="DU16" s="6">
        <v>-0.15024799999999999</v>
      </c>
      <c r="DW16" s="1">
        <v>-1.0373750051761074E-2</v>
      </c>
      <c r="DY16" s="6">
        <v>8.7091000000000002E-2</v>
      </c>
      <c r="EA16" s="1">
        <f t="shared" si="19"/>
        <v>7.6717249948238933E-2</v>
      </c>
      <c r="EC16" s="6">
        <v>0.155056</v>
      </c>
    </row>
    <row r="17" spans="6:133" s="1" customFormat="1" ht="15" customHeight="1" x14ac:dyDescent="0.35">
      <c r="F17" s="1">
        <v>-3.9430000000000003E-3</v>
      </c>
      <c r="G17" s="1">
        <v>-0.195968</v>
      </c>
      <c r="H17" s="1">
        <v>-3.1970000000000002E-3</v>
      </c>
      <c r="J17" s="1">
        <v>0</v>
      </c>
      <c r="K17" s="1">
        <v>0</v>
      </c>
      <c r="L17" s="1">
        <v>0</v>
      </c>
      <c r="N17" s="1">
        <v>0.22533400000000001</v>
      </c>
      <c r="O17" s="1">
        <v>0.241674</v>
      </c>
      <c r="P17" s="1">
        <v>0.23394599999999999</v>
      </c>
      <c r="R17" s="1">
        <v>0.23394599999999999</v>
      </c>
      <c r="S17" s="1">
        <v>0.241674</v>
      </c>
      <c r="T17" s="1">
        <v>0.22533400000000001</v>
      </c>
      <c r="X17" s="1">
        <f t="shared" ref="X17:X18" si="33">J17+R17+$V$8</f>
        <v>0.18260799999999999</v>
      </c>
      <c r="Y17" s="1">
        <f t="shared" si="28"/>
        <v>0.19033600000000001</v>
      </c>
      <c r="Z17" s="1">
        <f t="shared" si="29"/>
        <v>0.17399600000000001</v>
      </c>
      <c r="AB17" s="1">
        <f t="shared" ref="AB17:AB18" si="34">MAX(0,X17)</f>
        <v>0.18260799999999999</v>
      </c>
      <c r="AC17" s="1">
        <f t="shared" si="30"/>
        <v>0.19033600000000001</v>
      </c>
      <c r="AD17" s="1">
        <f t="shared" si="31"/>
        <v>0.17399600000000001</v>
      </c>
      <c r="AH17" s="1">
        <v>1.223199688E-2</v>
      </c>
      <c r="AI17" s="1">
        <v>1.2749656960000001E-2</v>
      </c>
      <c r="AJ17" s="1">
        <v>1.1655122060000002E-2</v>
      </c>
      <c r="AN17" s="1">
        <v>-7.9169698399999995E-3</v>
      </c>
      <c r="AO17" s="1">
        <v>-8.2520172799999993E-3</v>
      </c>
      <c r="AP17" s="1">
        <v>-7.5435965799999999E-3</v>
      </c>
      <c r="AT17" s="1">
        <v>5.0939049424000002E-2</v>
      </c>
      <c r="AU17" s="1">
        <v>5.3094798208000005E-2</v>
      </c>
      <c r="AV17" s="1">
        <v>4.8536706188000003E-2</v>
      </c>
      <c r="AZ17" s="1">
        <v>-3.1268698271999996E-2</v>
      </c>
      <c r="BA17" s="1">
        <v>-3.2591994624000004E-2</v>
      </c>
      <c r="BB17" s="1">
        <v>-2.9794031064000002E-2</v>
      </c>
      <c r="BF17" s="1">
        <f t="shared" si="32"/>
        <v>-2.436698681299998E-2</v>
      </c>
      <c r="BG17" s="1">
        <f t="shared" si="32"/>
        <v>3.3227235729999971E-2</v>
      </c>
      <c r="BH17" s="1">
        <f t="shared" si="32"/>
        <v>1.6367397314000026E-2</v>
      </c>
      <c r="BJ17" s="1" cm="1">
        <f t="array" ref="BJ17:BJ25">_xlfn.TOCOL(BF12:BH14)</f>
        <v>0.26612654870300001</v>
      </c>
      <c r="BL17" s="1">
        <f t="shared" si="14"/>
        <v>0.26612654870300001</v>
      </c>
      <c r="BN17" s="1">
        <v>-0.15889600000000001</v>
      </c>
      <c r="BO17" s="1">
        <v>-0.52941099999999996</v>
      </c>
      <c r="BP17" s="1">
        <v>-9.6992999999999996E-2</v>
      </c>
      <c r="BQ17" s="1">
        <v>0.16256899999999999</v>
      </c>
      <c r="BR17" s="1">
        <v>-4.1366E-2</v>
      </c>
      <c r="BS17" s="1">
        <v>0.18360899999999999</v>
      </c>
      <c r="BT17" s="1">
        <v>0.114873</v>
      </c>
      <c r="BU17" s="1">
        <v>-0.111572</v>
      </c>
      <c r="BV17" s="1">
        <v>-3.0370000000000001E-2</v>
      </c>
      <c r="CJ17" s="1">
        <v>2.4888192143999999E-2</v>
      </c>
      <c r="CK17" s="1">
        <v>2.5941464447999999E-2</v>
      </c>
      <c r="CL17" s="1">
        <v>2.3714436828E-2</v>
      </c>
      <c r="CP17" s="1">
        <v>-2.7394486944000002E-2</v>
      </c>
      <c r="CQ17" s="1">
        <v>-2.8553826048000004E-2</v>
      </c>
      <c r="CR17" s="1">
        <v>-2.6102531928000005E-2</v>
      </c>
      <c r="CZ17" s="1" cm="1">
        <f t="array" ref="CZ17:CZ25">_xlfn.TOCOL(CV12:CX14)</f>
        <v>-3.3920341127000014E-2</v>
      </c>
      <c r="DB17" s="1">
        <f t="shared" si="18"/>
        <v>0</v>
      </c>
      <c r="DD17" s="6">
        <v>-0.20028799999999999</v>
      </c>
      <c r="DE17" s="6">
        <v>0.112126</v>
      </c>
      <c r="DF17" s="6">
        <v>-5.1794E-2</v>
      </c>
      <c r="DG17" s="6">
        <v>-4.0118000000000001E-2</v>
      </c>
      <c r="DH17" s="6">
        <v>-0.20449500000000001</v>
      </c>
      <c r="DI17" s="6">
        <v>0.15904099999999999</v>
      </c>
      <c r="DJ17" s="6">
        <v>-1.6424000000000001E-2</v>
      </c>
      <c r="DK17" s="6">
        <v>-0.20954600000000001</v>
      </c>
      <c r="DL17" s="6">
        <v>5.262E-2</v>
      </c>
      <c r="DM17" s="6">
        <v>-0.17430499999999999</v>
      </c>
      <c r="DN17" s="6">
        <v>-5.1864E-2</v>
      </c>
      <c r="DO17" s="6">
        <v>-0.169575</v>
      </c>
      <c r="DP17" s="6">
        <v>-0.170705</v>
      </c>
      <c r="DQ17" s="6">
        <v>-4.4208999999999998E-2</v>
      </c>
      <c r="DR17" s="6">
        <v>0.24818200000000001</v>
      </c>
      <c r="DS17" s="6">
        <v>0.13356699999999999</v>
      </c>
      <c r="DT17" s="6">
        <v>0.25902700000000001</v>
      </c>
      <c r="DU17" s="6">
        <v>0.21282200000000001</v>
      </c>
      <c r="DW17" s="1">
        <v>-0.17541686878187326</v>
      </c>
      <c r="DY17" s="6">
        <v>0.19277</v>
      </c>
      <c r="EA17" s="1">
        <f t="shared" si="19"/>
        <v>1.7353131218126733E-2</v>
      </c>
      <c r="EC17" s="6">
        <v>2.0025000000000001E-2</v>
      </c>
    </row>
    <row r="18" spans="6:133" s="1" customFormat="1" ht="15" customHeight="1" x14ac:dyDescent="0.35">
      <c r="F18" s="1">
        <v>3.4828999999999999E-2</v>
      </c>
      <c r="G18" s="1">
        <v>-3.1946000000000002E-2</v>
      </c>
      <c r="H18" s="1">
        <v>0.162906</v>
      </c>
      <c r="J18" s="1">
        <v>0</v>
      </c>
      <c r="K18" s="1">
        <v>0</v>
      </c>
      <c r="L18" s="1">
        <v>0</v>
      </c>
      <c r="N18" s="1">
        <v>-0.15818699999999999</v>
      </c>
      <c r="O18" s="1">
        <v>4.3764999999999998E-2</v>
      </c>
      <c r="P18" s="1">
        <v>-0.15995599999999999</v>
      </c>
      <c r="R18" s="1">
        <v>0.40225899999999998</v>
      </c>
      <c r="S18" s="1">
        <v>0.25504500000000002</v>
      </c>
      <c r="T18" s="1">
        <v>-0.157418</v>
      </c>
      <c r="X18" s="1">
        <f t="shared" si="33"/>
        <v>0.35092099999999998</v>
      </c>
      <c r="Y18" s="1">
        <f t="shared" si="28"/>
        <v>0.20370700000000003</v>
      </c>
      <c r="Z18" s="1">
        <f t="shared" si="29"/>
        <v>-0.208756</v>
      </c>
      <c r="AB18" s="1">
        <f t="shared" si="34"/>
        <v>0.35092099999999998</v>
      </c>
      <c r="AC18" s="1">
        <f t="shared" si="30"/>
        <v>0.20370700000000003</v>
      </c>
      <c r="AD18" s="1">
        <f t="shared" si="31"/>
        <v>0</v>
      </c>
      <c r="AH18" s="1">
        <v>2.3506443185E-2</v>
      </c>
      <c r="AI18" s="1">
        <v>1.3645313395000002E-2</v>
      </c>
      <c r="AJ18" s="1">
        <v>0</v>
      </c>
      <c r="AN18" s="1">
        <v>-1.5214179954999999E-2</v>
      </c>
      <c r="AO18" s="1">
        <v>-8.8317169849999998E-3</v>
      </c>
      <c r="AP18" s="1">
        <v>0</v>
      </c>
      <c r="AT18" s="1">
        <v>9.7890465713000002E-2</v>
      </c>
      <c r="AU18" s="1">
        <v>5.682467877100001E-2</v>
      </c>
      <c r="AV18" s="1">
        <v>0</v>
      </c>
      <c r="AZ18" s="1">
        <v>-6.0089606513999999E-2</v>
      </c>
      <c r="BA18" s="1">
        <v>-3.4881564438000001E-2</v>
      </c>
      <c r="BB18" s="1">
        <v>0</v>
      </c>
      <c r="BF18" s="1">
        <f t="shared" si="32"/>
        <v>0.13888611318499997</v>
      </c>
      <c r="BG18" s="1">
        <f t="shared" si="32"/>
        <v>0.12644321491800001</v>
      </c>
      <c r="BH18" s="1">
        <f t="shared" si="32"/>
        <v>-0.121123351517</v>
      </c>
      <c r="BJ18" s="1">
        <v>0.19246213600700002</v>
      </c>
      <c r="BL18" s="1">
        <f t="shared" si="14"/>
        <v>0.19246213600700002</v>
      </c>
      <c r="BN18" s="1">
        <v>-1.9709000000000001E-2</v>
      </c>
      <c r="BO18" s="1">
        <v>0.20339599999999999</v>
      </c>
      <c r="BP18" s="1">
        <v>-0.150425</v>
      </c>
      <c r="BQ18" s="1">
        <v>-0.34975800000000001</v>
      </c>
      <c r="BR18" s="1">
        <v>0.140266</v>
      </c>
      <c r="BS18" s="1">
        <v>0.21152099999999999</v>
      </c>
      <c r="BT18" s="1">
        <v>-7.8214000000000006E-2</v>
      </c>
      <c r="BU18" s="1">
        <v>0.105545</v>
      </c>
      <c r="BV18" s="1">
        <v>-6.7182000000000006E-2</v>
      </c>
      <c r="CJ18" s="1">
        <v>4.7828075852999995E-2</v>
      </c>
      <c r="CK18" s="1">
        <v>2.7763838151000003E-2</v>
      </c>
      <c r="CL18" s="1">
        <v>0</v>
      </c>
      <c r="CP18" s="1">
        <v>-5.2644466578000003E-2</v>
      </c>
      <c r="CQ18" s="1">
        <v>-3.0559716726000007E-2</v>
      </c>
      <c r="CR18" s="1">
        <v>0</v>
      </c>
      <c r="CZ18" s="1">
        <v>3.7455616380000001E-2</v>
      </c>
      <c r="DB18" s="1">
        <f t="shared" si="18"/>
        <v>3.7455616380000001E-2</v>
      </c>
      <c r="DD18" s="6">
        <v>-9.2599999999999991E-3</v>
      </c>
      <c r="DE18" s="6">
        <v>0.19065699999999999</v>
      </c>
      <c r="DF18" s="6">
        <v>7.4441999999999994E-2</v>
      </c>
      <c r="DG18" s="6">
        <v>-0.112423</v>
      </c>
      <c r="DH18" s="6">
        <v>-3.8810999999999998E-2</v>
      </c>
      <c r="DI18" s="6">
        <v>4.8906999999999999E-2</v>
      </c>
      <c r="DJ18" s="6">
        <v>-0.119273</v>
      </c>
      <c r="DK18" s="6">
        <v>-0.159771</v>
      </c>
      <c r="DL18" s="6">
        <v>-0.147643</v>
      </c>
      <c r="DM18" s="6">
        <v>-1.67E-3</v>
      </c>
      <c r="DN18" s="6">
        <v>0.18637799999999999</v>
      </c>
      <c r="DO18" s="6">
        <v>-1.9961E-2</v>
      </c>
      <c r="DP18" s="6">
        <v>-0.14327400000000001</v>
      </c>
      <c r="DQ18" s="6">
        <v>-8.1752000000000005E-2</v>
      </c>
      <c r="DR18" s="6">
        <v>-0.181449</v>
      </c>
      <c r="DS18" s="6">
        <v>-3.5143000000000001E-2</v>
      </c>
      <c r="DT18" s="6">
        <v>5.6400000000000005E-4</v>
      </c>
      <c r="DU18" s="6">
        <v>-0.195244</v>
      </c>
      <c r="DW18" s="1">
        <v>-9.5438244767733049E-2</v>
      </c>
      <c r="DY18" s="6">
        <v>-0.10299</v>
      </c>
      <c r="EA18" s="1">
        <f t="shared" si="19"/>
        <v>0</v>
      </c>
      <c r="EC18" s="6">
        <v>2.1624000000000001E-2</v>
      </c>
    </row>
    <row r="19" spans="6:133" s="1" customFormat="1" ht="15" customHeight="1" x14ac:dyDescent="0.35">
      <c r="BJ19" s="1">
        <v>0.55320934708000002</v>
      </c>
      <c r="BL19" s="1">
        <f t="shared" si="14"/>
        <v>0.55320934708000002</v>
      </c>
      <c r="BN19" s="1">
        <v>-0.13445199999999999</v>
      </c>
      <c r="BO19" s="1">
        <v>5.9242000000000003E-2</v>
      </c>
      <c r="BP19" s="1">
        <v>-4.7482999999999997E-2</v>
      </c>
      <c r="BQ19" s="1">
        <v>-0.20762</v>
      </c>
      <c r="BR19" s="1">
        <v>-0.22601099999999999</v>
      </c>
      <c r="BS19" s="1">
        <v>0.26069799999999999</v>
      </c>
      <c r="BT19" s="1">
        <v>-4.6283999999999999E-2</v>
      </c>
      <c r="BU19" s="1">
        <v>-5.5226999999999998E-2</v>
      </c>
      <c r="BV19" s="1">
        <v>0.14801600000000001</v>
      </c>
      <c r="CZ19" s="1">
        <v>7.5650918320999988E-2</v>
      </c>
      <c r="DB19" s="1">
        <f t="shared" si="18"/>
        <v>7.5650918320999988E-2</v>
      </c>
      <c r="DD19" s="6">
        <v>-0.25071399999999999</v>
      </c>
      <c r="DE19" s="6">
        <v>7.8039999999999998E-2</v>
      </c>
      <c r="DF19" s="6">
        <v>-0.13636799999999999</v>
      </c>
      <c r="DG19" s="6">
        <v>-0.150501</v>
      </c>
      <c r="DH19" s="6">
        <v>0.170211</v>
      </c>
      <c r="DI19" s="6">
        <v>0.12559999999999999</v>
      </c>
      <c r="DJ19" s="6">
        <v>-0.113978</v>
      </c>
      <c r="DK19" s="6">
        <v>0.281638</v>
      </c>
      <c r="DL19" s="6">
        <v>4.2111999999999997E-2</v>
      </c>
      <c r="DM19" s="6">
        <v>0.210949</v>
      </c>
      <c r="DN19" s="6">
        <v>-7.1647000000000002E-2</v>
      </c>
      <c r="DO19" s="6">
        <v>0.250245</v>
      </c>
      <c r="DP19" s="6">
        <v>5.0796000000000001E-2</v>
      </c>
      <c r="DQ19" s="6">
        <v>0.114692</v>
      </c>
      <c r="DR19" s="6">
        <v>7.4013999999999996E-2</v>
      </c>
      <c r="DS19" s="6">
        <v>-8.1032999999999994E-2</v>
      </c>
      <c r="DT19" s="6">
        <v>-2.4399999999999999E-3</v>
      </c>
      <c r="DU19" s="6">
        <v>-0.18066499999999999</v>
      </c>
      <c r="DW19" s="1">
        <v>-2.4244950848932786E-2</v>
      </c>
      <c r="DY19" s="6">
        <v>2.4359999999999998E-3</v>
      </c>
      <c r="EA19" s="1">
        <f t="shared" si="19"/>
        <v>0</v>
      </c>
      <c r="EC19" s="6">
        <v>0.16239999999999999</v>
      </c>
    </row>
    <row r="20" spans="6:133" s="1" customFormat="1" ht="15" customHeight="1" x14ac:dyDescent="0.35">
      <c r="F20" s="1">
        <v>-4.4734000000000003E-2</v>
      </c>
      <c r="G20" s="1">
        <v>0.24276700000000001</v>
      </c>
      <c r="H20" s="1">
        <v>-0.103646</v>
      </c>
      <c r="J20" s="1" cm="1">
        <f t="array" ref="J20:L22">Conv2D($B$8:$D$10,F20:H22)</f>
        <v>0</v>
      </c>
      <c r="K20" s="1">
        <v>0</v>
      </c>
      <c r="L20" s="1">
        <v>0</v>
      </c>
      <c r="N20" s="1">
        <v>-0.15912100000000001</v>
      </c>
      <c r="O20" s="1">
        <v>-0.103283</v>
      </c>
      <c r="P20" s="1">
        <v>-0.204513</v>
      </c>
      <c r="R20" s="1" cm="1">
        <f t="array" ref="R20:T22">Conv2D($B$12:$D$14,N20:P22)</f>
        <v>-1.6393999999999999E-2</v>
      </c>
      <c r="S20" s="1">
        <v>8.1741999999999995E-2</v>
      </c>
      <c r="T20" s="1">
        <v>0.17743</v>
      </c>
      <c r="V20" s="1">
        <v>-0.20455799999999999</v>
      </c>
      <c r="X20" s="1">
        <f>J20+R20+$V$8</f>
        <v>-6.7732000000000001E-2</v>
      </c>
      <c r="Y20" s="1">
        <f t="shared" ref="Y20:Y22" si="35">K20+S20+$V$8</f>
        <v>3.0403999999999994E-2</v>
      </c>
      <c r="Z20" s="1">
        <f t="shared" ref="Z20:Z22" si="36">L20+T20+$V$8</f>
        <v>0.12609200000000001</v>
      </c>
      <c r="AB20" s="1">
        <f>MAX(0,X20)</f>
        <v>0</v>
      </c>
      <c r="AC20" s="1">
        <f t="shared" ref="AC20:AC22" si="37">MAX(0,Y20)</f>
        <v>3.0403999999999994E-2</v>
      </c>
      <c r="AD20" s="1">
        <f t="shared" ref="AD20:AD22" si="38">MAX(0,Z20)</f>
        <v>0.12609200000000001</v>
      </c>
      <c r="AF20" s="1">
        <v>9.9670999999999996E-2</v>
      </c>
      <c r="AH20" s="1" cm="1">
        <f t="array" ref="AH20:AJ22">Conv($AB$20:$AD$22,AF20)</f>
        <v>0</v>
      </c>
      <c r="AI20" s="1">
        <v>3.030397083999999E-3</v>
      </c>
      <c r="AJ20" s="1">
        <v>1.2567715732000001E-2</v>
      </c>
      <c r="AL20" s="1">
        <v>9.1020000000000007E-3</v>
      </c>
      <c r="AN20" s="1" cm="1">
        <f t="array" ref="AN20:AP22">Conv($AB$20:$AD$22,AL20)</f>
        <v>0</v>
      </c>
      <c r="AO20" s="1">
        <v>2.7673720799999997E-4</v>
      </c>
      <c r="AP20" s="1">
        <v>1.1476893840000001E-3</v>
      </c>
      <c r="AR20" s="1">
        <v>0.156194</v>
      </c>
      <c r="AT20" s="1" cm="1">
        <f t="array" ref="AT20:AV22">Conv($AB$20:$AD$22,AR20)</f>
        <v>0</v>
      </c>
      <c r="AU20" s="1">
        <v>4.7489223759999994E-3</v>
      </c>
      <c r="AV20" s="1">
        <v>1.9694813848000002E-2</v>
      </c>
      <c r="AX20" s="1">
        <v>0.32585900000000001</v>
      </c>
      <c r="AZ20" s="1" cm="1">
        <f t="array" ref="AZ20:BB22">Conv($AB$20:$AD$22,AX20)</f>
        <v>0</v>
      </c>
      <c r="BA20" s="1">
        <v>9.9074170359999981E-3</v>
      </c>
      <c r="BB20" s="1">
        <v>4.1088213028000004E-2</v>
      </c>
      <c r="BD20" s="1">
        <v>9.7970000000000002E-2</v>
      </c>
      <c r="BF20" s="1">
        <f t="shared" ref="BF20:BH22" si="39">AZ8+AZ12+AZ16+AZ20+AZ24+AZ28+AZ32+AZ36+AZ40+AZ44+AZ48+AZ52+AZ56+AZ60+AZ64+AZ68+$BD$20</f>
        <v>0.217772328865</v>
      </c>
      <c r="BG20" s="1">
        <f t="shared" si="39"/>
        <v>0.20880715068799999</v>
      </c>
      <c r="BH20" s="1">
        <f t="shared" si="39"/>
        <v>0.21150909113800001</v>
      </c>
      <c r="BJ20" s="1">
        <v>0.50229920516100002</v>
      </c>
      <c r="BL20" s="1">
        <f t="shared" si="14"/>
        <v>0.50229920516100002</v>
      </c>
      <c r="BN20" s="1">
        <v>0.18568399999999999</v>
      </c>
      <c r="BO20" s="1">
        <v>-4.0363000000000003E-2</v>
      </c>
      <c r="BP20" s="1">
        <v>-5.4183000000000002E-2</v>
      </c>
      <c r="BQ20" s="1">
        <v>7.2480000000000003E-2</v>
      </c>
      <c r="BR20" s="1">
        <v>-0.44107200000000002</v>
      </c>
      <c r="BS20" s="1">
        <v>0.24843699999999999</v>
      </c>
      <c r="BT20" s="1">
        <v>1.9122E-2</v>
      </c>
      <c r="BU20" s="1">
        <v>4.1930000000000002E-2</v>
      </c>
      <c r="BV20" s="1">
        <v>-4.5281000000000002E-2</v>
      </c>
      <c r="CH20" s="1">
        <v>-0.16390399999999999</v>
      </c>
      <c r="CJ20" s="1" cm="1">
        <f t="array" ref="CJ20:CL22">Conv($AB$20:$AD$22,CH20)</f>
        <v>0</v>
      </c>
      <c r="CK20" s="1">
        <v>-4.9833372159999991E-3</v>
      </c>
      <c r="CL20" s="1">
        <v>-2.0666983167999999E-2</v>
      </c>
      <c r="CN20" s="1">
        <v>8.7215000000000001E-2</v>
      </c>
      <c r="CP20" s="1" cm="1">
        <f t="array" ref="CP20:CR22">Conv($AB$20:$AD$22,CN20)</f>
        <v>0</v>
      </c>
      <c r="CQ20" s="1">
        <v>2.6516848599999997E-3</v>
      </c>
      <c r="CR20" s="1">
        <v>1.0997113780000001E-2</v>
      </c>
      <c r="CZ20" s="1">
        <v>-3.5220335923000015E-2</v>
      </c>
      <c r="DB20" s="1">
        <f t="shared" si="18"/>
        <v>0</v>
      </c>
      <c r="DD20" s="6">
        <v>0.18046300000000001</v>
      </c>
      <c r="DE20" s="6">
        <v>-0.108305</v>
      </c>
      <c r="DF20" s="6">
        <v>4.8868000000000002E-2</v>
      </c>
      <c r="DG20" s="6">
        <v>9.2073000000000002E-2</v>
      </c>
      <c r="DH20" s="6">
        <v>0.23777699999999999</v>
      </c>
      <c r="DI20" s="6">
        <v>-4.0647000000000003E-2</v>
      </c>
      <c r="DJ20" s="6">
        <v>0.27212700000000001</v>
      </c>
      <c r="DK20" s="6">
        <v>-0.149169</v>
      </c>
      <c r="DL20" s="6">
        <v>0.127304</v>
      </c>
      <c r="DM20" s="6">
        <v>-0.26789099999999999</v>
      </c>
      <c r="DN20" s="6">
        <v>-0.15779799999999999</v>
      </c>
      <c r="DO20" s="6">
        <v>-0.18901000000000001</v>
      </c>
      <c r="DP20" s="6">
        <v>6.9030999999999995E-2</v>
      </c>
      <c r="DQ20" s="6">
        <v>-0.144096</v>
      </c>
      <c r="DR20" s="6">
        <v>-3.7592E-2</v>
      </c>
      <c r="DS20" s="6">
        <v>-0.19436899999999999</v>
      </c>
      <c r="DT20" s="6">
        <v>0.116413</v>
      </c>
      <c r="DU20" s="6">
        <v>-0.16325400000000001</v>
      </c>
      <c r="DW20" s="1">
        <v>0.23848331487964775</v>
      </c>
      <c r="DY20" s="6">
        <v>8.1762000000000001E-2</v>
      </c>
      <c r="EA20" s="1">
        <f t="shared" si="19"/>
        <v>0.32024531487964775</v>
      </c>
      <c r="EC20" s="6">
        <v>-0.16808799999999999</v>
      </c>
    </row>
    <row r="21" spans="6:133" s="1" customFormat="1" ht="15" customHeight="1" x14ac:dyDescent="0.35">
      <c r="F21" s="1">
        <v>-0.249885</v>
      </c>
      <c r="G21" s="1">
        <v>-0.15126500000000001</v>
      </c>
      <c r="H21" s="1">
        <v>-0.22584099999999999</v>
      </c>
      <c r="J21" s="1">
        <v>0</v>
      </c>
      <c r="K21" s="1">
        <v>0</v>
      </c>
      <c r="L21" s="1">
        <v>0</v>
      </c>
      <c r="N21" s="1">
        <v>0.16390299999999999</v>
      </c>
      <c r="O21" s="1">
        <v>0.18865199999999999</v>
      </c>
      <c r="P21" s="1">
        <v>0.19300899999999999</v>
      </c>
      <c r="R21" s="1">
        <v>0.19300899999999999</v>
      </c>
      <c r="S21" s="1">
        <v>0.18865199999999999</v>
      </c>
      <c r="T21" s="1">
        <v>0.16390299999999999</v>
      </c>
      <c r="X21" s="1">
        <f t="shared" ref="X21:X22" si="40">J21+R21+$V$8</f>
        <v>0.14167099999999999</v>
      </c>
      <c r="Y21" s="1">
        <f t="shared" si="35"/>
        <v>0.13731399999999999</v>
      </c>
      <c r="Z21" s="1">
        <f t="shared" si="36"/>
        <v>0.112565</v>
      </c>
      <c r="AB21" s="1">
        <f t="shared" ref="AB21:AB22" si="41">MAX(0,X21)</f>
        <v>0.14167099999999999</v>
      </c>
      <c r="AC21" s="1">
        <f t="shared" si="37"/>
        <v>0.13731399999999999</v>
      </c>
      <c r="AD21" s="1">
        <f t="shared" si="38"/>
        <v>0.112565</v>
      </c>
      <c r="AH21" s="1">
        <v>1.4120490240999999E-2</v>
      </c>
      <c r="AI21" s="1">
        <v>1.3686223693999999E-2</v>
      </c>
      <c r="AJ21" s="1">
        <v>1.1219466115E-2</v>
      </c>
      <c r="AN21" s="1">
        <v>1.289489442E-3</v>
      </c>
      <c r="AO21" s="1">
        <v>1.2498320280000001E-3</v>
      </c>
      <c r="AP21" s="1">
        <v>1.0245666300000001E-3</v>
      </c>
      <c r="AT21" s="1">
        <v>2.2128160173999999E-2</v>
      </c>
      <c r="AU21" s="1">
        <v>2.1447622915999998E-2</v>
      </c>
      <c r="AV21" s="1">
        <v>1.7581977610000001E-2</v>
      </c>
      <c r="AZ21" s="1">
        <v>4.6164770389E-2</v>
      </c>
      <c r="BA21" s="1">
        <v>4.4745002725999995E-2</v>
      </c>
      <c r="BB21" s="1">
        <v>3.6680318335000003E-2</v>
      </c>
      <c r="BF21" s="1">
        <f t="shared" si="39"/>
        <v>0.23781709972400003</v>
      </c>
      <c r="BG21" s="1">
        <f t="shared" si="39"/>
        <v>0.16099188916999999</v>
      </c>
      <c r="BH21" s="1">
        <f t="shared" si="39"/>
        <v>0.15829537416100001</v>
      </c>
      <c r="BJ21" s="1">
        <v>0.22497944657300001</v>
      </c>
      <c r="BL21" s="1">
        <f t="shared" si="14"/>
        <v>0.22497944657300001</v>
      </c>
      <c r="BN21" s="1">
        <v>-0.39898</v>
      </c>
      <c r="BO21" s="1">
        <v>7.0576E-2</v>
      </c>
      <c r="BP21" s="1">
        <v>3.9382E-2</v>
      </c>
      <c r="BQ21" s="1">
        <v>0.19794700000000001</v>
      </c>
      <c r="BR21" s="1">
        <v>7.8557000000000002E-2</v>
      </c>
      <c r="BS21" s="1">
        <v>-0.24587300000000001</v>
      </c>
      <c r="BT21" s="1">
        <v>-0.42212</v>
      </c>
      <c r="BU21" s="1">
        <v>0.209338</v>
      </c>
      <c r="BV21" s="1">
        <v>9.3454999999999996E-2</v>
      </c>
      <c r="CJ21" s="1">
        <v>-2.3220443583999998E-2</v>
      </c>
      <c r="CK21" s="1">
        <v>-2.2506313855999997E-2</v>
      </c>
      <c r="CL21" s="1">
        <v>-1.8449853759999999E-2</v>
      </c>
      <c r="CP21" s="1">
        <v>1.2355836265E-2</v>
      </c>
      <c r="CQ21" s="1">
        <v>1.1975840509999999E-2</v>
      </c>
      <c r="CR21" s="1">
        <v>9.8173564750000004E-3</v>
      </c>
      <c r="CZ21" s="1">
        <v>-2.1115557797000004E-2</v>
      </c>
      <c r="DB21" s="1">
        <f t="shared" si="18"/>
        <v>0</v>
      </c>
      <c r="DD21" s="6">
        <v>-0.215448</v>
      </c>
      <c r="DE21" s="6">
        <v>-0.105875</v>
      </c>
      <c r="DF21" s="6">
        <v>-0.21601699999999999</v>
      </c>
      <c r="DG21" s="6">
        <v>-8.0221000000000001E-2</v>
      </c>
      <c r="DH21" s="6">
        <v>0.16792699999999999</v>
      </c>
      <c r="DI21" s="6">
        <v>1.4649000000000001E-2</v>
      </c>
      <c r="DJ21" s="6">
        <v>-0.103212</v>
      </c>
      <c r="DK21" s="6">
        <v>5.9452999999999999E-2</v>
      </c>
      <c r="DL21" s="6">
        <v>6.4005000000000006E-2</v>
      </c>
      <c r="DM21" s="6">
        <v>-5.0728000000000002E-2</v>
      </c>
      <c r="DN21" s="6">
        <v>6.4004000000000005E-2</v>
      </c>
      <c r="DO21" s="6">
        <v>-4.6116999999999998E-2</v>
      </c>
      <c r="DP21" s="6">
        <v>0.10877299999999999</v>
      </c>
      <c r="DQ21" s="6">
        <v>-4.2313000000000003E-2</v>
      </c>
      <c r="DR21" s="6">
        <v>-0.157272</v>
      </c>
      <c r="DS21" s="6">
        <v>0.112217</v>
      </c>
      <c r="DT21" s="6">
        <v>-7.5686000000000003E-2</v>
      </c>
      <c r="DU21" s="6">
        <v>-0.18012400000000001</v>
      </c>
      <c r="DW21" s="1">
        <v>-0.13103862171822883</v>
      </c>
      <c r="DY21" s="6">
        <v>0.14436399999999999</v>
      </c>
      <c r="EA21" s="1">
        <f t="shared" si="19"/>
        <v>1.3325378281771161E-2</v>
      </c>
      <c r="EC21" s="6">
        <v>3.1822000000000003E-2</v>
      </c>
    </row>
    <row r="22" spans="6:133" s="1" customFormat="1" ht="15" customHeight="1" x14ac:dyDescent="0.35">
      <c r="F22" s="1">
        <v>-3.6755999999999997E-2</v>
      </c>
      <c r="G22" s="1">
        <v>7.8100000000000001E-4</v>
      </c>
      <c r="H22" s="1">
        <v>-0.150618</v>
      </c>
      <c r="J22" s="1">
        <v>0</v>
      </c>
      <c r="K22" s="1">
        <v>0</v>
      </c>
      <c r="L22" s="1">
        <v>0</v>
      </c>
      <c r="N22" s="1">
        <v>0.17743</v>
      </c>
      <c r="O22" s="1">
        <v>8.1741999999999995E-2</v>
      </c>
      <c r="P22" s="1">
        <v>-1.6393999999999999E-2</v>
      </c>
      <c r="R22" s="1">
        <v>-0.204513</v>
      </c>
      <c r="S22" s="1">
        <v>-0.103283</v>
      </c>
      <c r="T22" s="1">
        <v>-0.15912100000000001</v>
      </c>
      <c r="X22" s="1">
        <f t="shared" si="40"/>
        <v>-0.255851</v>
      </c>
      <c r="Y22" s="1">
        <f t="shared" si="35"/>
        <v>-0.15462100000000001</v>
      </c>
      <c r="Z22" s="1">
        <f t="shared" si="36"/>
        <v>-0.21045900000000001</v>
      </c>
      <c r="AB22" s="1">
        <f t="shared" si="41"/>
        <v>0</v>
      </c>
      <c r="AC22" s="1">
        <f t="shared" si="37"/>
        <v>0</v>
      </c>
      <c r="AD22" s="1">
        <f t="shared" si="38"/>
        <v>0</v>
      </c>
      <c r="AH22" s="1">
        <v>0</v>
      </c>
      <c r="AI22" s="1">
        <v>0</v>
      </c>
      <c r="AJ22" s="1">
        <v>0</v>
      </c>
      <c r="AN22" s="1">
        <v>0</v>
      </c>
      <c r="AO22" s="1">
        <v>0</v>
      </c>
      <c r="AP22" s="1">
        <v>0</v>
      </c>
      <c r="AT22" s="1">
        <v>0</v>
      </c>
      <c r="AU22" s="1">
        <v>0</v>
      </c>
      <c r="AV22" s="1">
        <v>0</v>
      </c>
      <c r="AZ22" s="1">
        <v>0</v>
      </c>
      <c r="BA22" s="1">
        <v>0</v>
      </c>
      <c r="BB22" s="1">
        <v>0</v>
      </c>
      <c r="BF22" s="1">
        <f t="shared" si="39"/>
        <v>7.8271178066000008E-2</v>
      </c>
      <c r="BG22" s="1">
        <f t="shared" si="39"/>
        <v>0.12209533673299999</v>
      </c>
      <c r="BH22" s="1">
        <f t="shared" si="39"/>
        <v>4.7674047789999993E-2</v>
      </c>
      <c r="BJ22" s="1">
        <v>0.29687924346599998</v>
      </c>
      <c r="BL22" s="1">
        <f t="shared" si="14"/>
        <v>0.29687924346599998</v>
      </c>
      <c r="BN22" s="1">
        <v>1.8561000000000001E-2</v>
      </c>
      <c r="BO22" s="1">
        <v>5.4572000000000002E-2</v>
      </c>
      <c r="BP22" s="1">
        <v>0.12695400000000001</v>
      </c>
      <c r="BQ22" s="1">
        <v>1.3658999999999999E-2</v>
      </c>
      <c r="BR22" s="1">
        <v>5.9194999999999998E-2</v>
      </c>
      <c r="BS22" s="1">
        <v>0.23514399999999999</v>
      </c>
      <c r="BT22" s="1">
        <v>-7.9885999999999999E-2</v>
      </c>
      <c r="BU22" s="1">
        <v>-0.36385600000000001</v>
      </c>
      <c r="BV22" s="1">
        <v>0.22655</v>
      </c>
      <c r="CJ22" s="1">
        <v>0</v>
      </c>
      <c r="CK22" s="1">
        <v>0</v>
      </c>
      <c r="CL22" s="1">
        <v>0</v>
      </c>
      <c r="CP22" s="1">
        <v>0</v>
      </c>
      <c r="CQ22" s="1">
        <v>0</v>
      </c>
      <c r="CR22" s="1">
        <v>0</v>
      </c>
      <c r="CZ22" s="1">
        <v>-2.2652589121000013E-2</v>
      </c>
      <c r="DB22" s="1">
        <f t="shared" si="18"/>
        <v>0</v>
      </c>
      <c r="DD22" s="6">
        <v>-7.6385999999999996E-2</v>
      </c>
      <c r="DE22" s="6">
        <v>2.0565E-2</v>
      </c>
      <c r="DF22" s="6">
        <v>0.170935</v>
      </c>
      <c r="DG22" s="6">
        <v>6.9377999999999995E-2</v>
      </c>
      <c r="DH22" s="6">
        <v>3.8593000000000002E-2</v>
      </c>
      <c r="DI22" s="6">
        <v>-0.11604399999999999</v>
      </c>
      <c r="DJ22" s="6">
        <v>-2.1731E-2</v>
      </c>
      <c r="DK22" s="6">
        <v>8.2579E-2</v>
      </c>
      <c r="DL22" s="6">
        <v>-0.25632199999999999</v>
      </c>
      <c r="DM22" s="6">
        <v>1.5746E-2</v>
      </c>
      <c r="DN22" s="6">
        <v>3.6801E-2</v>
      </c>
      <c r="DO22" s="6">
        <v>-8.2255999999999996E-2</v>
      </c>
      <c r="DP22" s="6">
        <v>-7.9599000000000003E-2</v>
      </c>
      <c r="DQ22" s="6">
        <v>-7.1012000000000006E-2</v>
      </c>
      <c r="DR22" s="6">
        <v>-0.10556</v>
      </c>
      <c r="DS22" s="6">
        <v>4.3194000000000003E-2</v>
      </c>
      <c r="DT22" s="6">
        <v>0.12436899999999999</v>
      </c>
      <c r="DU22" s="6">
        <v>9.4462000000000004E-2</v>
      </c>
      <c r="DW22" s="1">
        <v>-3.7675195491790381E-2</v>
      </c>
      <c r="DY22" s="6">
        <v>-2.6290999999999998E-2</v>
      </c>
      <c r="EA22" s="1">
        <f t="shared" si="19"/>
        <v>0</v>
      </c>
      <c r="EC22" s="6">
        <v>-3.4349999999999999E-2</v>
      </c>
    </row>
    <row r="23" spans="6:133" s="1" customFormat="1" ht="15" customHeight="1" x14ac:dyDescent="0.35">
      <c r="BJ23" s="1">
        <v>0.33852816355100002</v>
      </c>
      <c r="BL23" s="1">
        <f t="shared" si="14"/>
        <v>0.33852816355100002</v>
      </c>
      <c r="BN23" s="1">
        <v>-0.14158299999999999</v>
      </c>
      <c r="BO23" s="1">
        <v>0.111357</v>
      </c>
      <c r="BP23" s="1">
        <v>-0.33590199999999998</v>
      </c>
      <c r="BQ23" s="1">
        <v>9.7087000000000007E-2</v>
      </c>
      <c r="BR23" s="1">
        <v>-7.9852000000000006E-2</v>
      </c>
      <c r="BS23" s="1">
        <v>-6.5869999999999998E-2</v>
      </c>
      <c r="BT23" s="1">
        <v>8.6527000000000007E-2</v>
      </c>
      <c r="BU23" s="1">
        <v>-0.349914</v>
      </c>
      <c r="BV23" s="1">
        <v>5.9779999999999998E-3</v>
      </c>
      <c r="CZ23" s="1">
        <v>-4.0401350197000002E-2</v>
      </c>
      <c r="DB23" s="1">
        <f t="shared" si="18"/>
        <v>0</v>
      </c>
      <c r="DD23" s="6">
        <v>2.8465000000000001E-2</v>
      </c>
      <c r="DE23" s="6">
        <v>0.20286299999999999</v>
      </c>
      <c r="DF23" s="6">
        <v>-0.18703500000000001</v>
      </c>
      <c r="DG23" s="6">
        <v>8.931E-2</v>
      </c>
      <c r="DH23" s="6">
        <v>-4.4298999999999998E-2</v>
      </c>
      <c r="DI23" s="6">
        <v>-7.8899999999999999E-4</v>
      </c>
      <c r="DJ23" s="6">
        <v>3.739E-2</v>
      </c>
      <c r="DK23" s="6">
        <v>4.5659999999999999E-2</v>
      </c>
      <c r="DL23" s="6">
        <v>7.4817999999999996E-2</v>
      </c>
      <c r="DM23" s="6">
        <v>3.6008999999999999E-2</v>
      </c>
      <c r="DN23" s="6">
        <v>1.6819000000000001E-2</v>
      </c>
      <c r="DO23" s="6">
        <v>-9.4879999999999999E-3</v>
      </c>
      <c r="DP23" s="6">
        <v>0.16863800000000001</v>
      </c>
      <c r="DQ23" s="6">
        <v>-5.9050999999999999E-2</v>
      </c>
      <c r="DR23" s="6">
        <v>0.24370700000000001</v>
      </c>
      <c r="DS23" s="6">
        <v>-4.8201000000000001E-2</v>
      </c>
      <c r="DT23" s="6">
        <v>-8.4777000000000005E-2</v>
      </c>
      <c r="DU23" s="6">
        <v>0.113152</v>
      </c>
      <c r="DW23" s="1">
        <v>6.0244712657267045E-2</v>
      </c>
      <c r="DY23" s="6">
        <v>-1.7985000000000001E-2</v>
      </c>
      <c r="EA23" s="1">
        <f t="shared" si="19"/>
        <v>4.2259712657267044E-2</v>
      </c>
      <c r="EC23" s="6">
        <v>0.114408</v>
      </c>
    </row>
    <row r="24" spans="6:133" s="1" customFormat="1" ht="15" customHeight="1" x14ac:dyDescent="0.35">
      <c r="F24" s="1">
        <v>9.0029999999999999E-2</v>
      </c>
      <c r="G24" s="1">
        <v>-1.5034E-2</v>
      </c>
      <c r="H24" s="1">
        <v>0.41176299999999999</v>
      </c>
      <c r="J24" s="1" cm="1">
        <f t="array" ref="J24:L26">Conv2D($B$8:$D$10,F24:H26)</f>
        <v>0</v>
      </c>
      <c r="K24" s="1">
        <v>0</v>
      </c>
      <c r="L24" s="1">
        <v>0</v>
      </c>
      <c r="N24" s="1">
        <v>-0.153973</v>
      </c>
      <c r="O24" s="1">
        <v>2.9741E-2</v>
      </c>
      <c r="P24" s="1">
        <v>0.26255099999999998</v>
      </c>
      <c r="R24" s="1" cm="1">
        <f t="array" ref="R24:T26">Conv2D($B$12:$D$14,N24:P26)</f>
        <v>-9.7090000000000006E-3</v>
      </c>
      <c r="S24" s="1">
        <v>0.15304100000000001</v>
      </c>
      <c r="T24" s="1">
        <v>-0.115534</v>
      </c>
      <c r="V24" s="1">
        <v>1.6230000000000001E-3</v>
      </c>
      <c r="X24" s="1">
        <f>J24+R24+$V$8</f>
        <v>-6.1047000000000004E-2</v>
      </c>
      <c r="Y24" s="1">
        <f t="shared" ref="Y24:Y26" si="42">K24+S24+$V$8</f>
        <v>0.10170300000000002</v>
      </c>
      <c r="Z24" s="1">
        <f t="shared" ref="Z24:Z26" si="43">L24+T24+$V$8</f>
        <v>-0.16687199999999999</v>
      </c>
      <c r="AB24" s="1">
        <f>MAX(0,X24)</f>
        <v>0</v>
      </c>
      <c r="AC24" s="1">
        <f t="shared" ref="AC24:AC26" si="44">MAX(0,Y24)</f>
        <v>0.10170300000000002</v>
      </c>
      <c r="AD24" s="1">
        <f t="shared" ref="AD24:AD26" si="45">MAX(0,Z24)</f>
        <v>0</v>
      </c>
      <c r="AF24" s="1">
        <v>0.188385</v>
      </c>
      <c r="AH24" s="1" cm="1">
        <f t="array" ref="AH24:AJ26">Conv($AB$24:$AD$26,AF24)</f>
        <v>0</v>
      </c>
      <c r="AI24" s="1">
        <v>1.9159319655000003E-2</v>
      </c>
      <c r="AJ24" s="1">
        <v>0</v>
      </c>
      <c r="AL24" s="1">
        <v>1.748E-3</v>
      </c>
      <c r="AN24" s="1" cm="1">
        <f t="array" ref="AN24:AP26">Conv($AB$24:$AD$26,AL24)</f>
        <v>0</v>
      </c>
      <c r="AO24" s="1">
        <v>1.7777684400000003E-4</v>
      </c>
      <c r="AP24" s="1">
        <v>0</v>
      </c>
      <c r="AR24" s="1">
        <v>0.43958799999999998</v>
      </c>
      <c r="AT24" s="1" cm="1">
        <f t="array" ref="AT24:AV26">Conv($AB$24:$AD$26,AR24)</f>
        <v>0</v>
      </c>
      <c r="AU24" s="1">
        <v>4.4707418364000003E-2</v>
      </c>
      <c r="AV24" s="1">
        <v>0</v>
      </c>
      <c r="AX24" s="1">
        <v>-0.13866700000000001</v>
      </c>
      <c r="AZ24" s="1" cm="1">
        <f t="array" ref="AZ24:BB26">Conv($AB$24:$AD$26,AX24)</f>
        <v>0</v>
      </c>
      <c r="BA24" s="1">
        <v>-1.4102849901000003E-2</v>
      </c>
      <c r="BB24" s="1">
        <v>0</v>
      </c>
      <c r="BJ24" s="1">
        <v>0.24727637329399998</v>
      </c>
      <c r="BL24" s="1">
        <f t="shared" si="14"/>
        <v>0.24727637329399998</v>
      </c>
      <c r="BN24" s="1">
        <v>-0.207705</v>
      </c>
      <c r="BO24" s="1">
        <v>-7.5922000000000003E-2</v>
      </c>
      <c r="BP24" s="1">
        <v>0.124657</v>
      </c>
      <c r="BQ24" s="1">
        <v>3.5455E-2</v>
      </c>
      <c r="BR24" s="1">
        <v>-0.11269</v>
      </c>
      <c r="BS24" s="1">
        <v>-3.6410000000000001E-3</v>
      </c>
      <c r="BT24" s="1">
        <v>-4.2764999999999997E-2</v>
      </c>
      <c r="BU24" s="1">
        <v>0.11590300000000001</v>
      </c>
      <c r="BV24" s="1">
        <v>-0.23292499999999999</v>
      </c>
      <c r="CH24" s="1">
        <v>-0.176542</v>
      </c>
      <c r="CJ24" s="1" cm="1">
        <f t="array" ref="CJ24:CL26">Conv($AB$24:$AD$26,CH24)</f>
        <v>0</v>
      </c>
      <c r="CK24" s="1">
        <v>-1.7954851026000002E-2</v>
      </c>
      <c r="CL24" s="1">
        <v>0</v>
      </c>
      <c r="CN24" s="1">
        <v>0.13788800000000001</v>
      </c>
      <c r="CP24" s="1" cm="1">
        <f t="array" ref="CP24:CR26">Conv($AB$24:$AD$26,CN24)</f>
        <v>0</v>
      </c>
      <c r="CQ24" s="1">
        <v>1.4023623264000003E-2</v>
      </c>
      <c r="CR24" s="1">
        <v>0</v>
      </c>
      <c r="CZ24" s="1">
        <v>-4.8730410717000017E-2</v>
      </c>
      <c r="DB24" s="1">
        <f t="shared" si="18"/>
        <v>0</v>
      </c>
      <c r="DD24" s="6">
        <v>0.14333299999999999</v>
      </c>
      <c r="DE24" s="6">
        <v>-0.199686</v>
      </c>
      <c r="DF24" s="6">
        <v>0.121589</v>
      </c>
      <c r="DG24" s="6">
        <v>-0.193824</v>
      </c>
      <c r="DH24" s="6">
        <v>-0.20545099999999999</v>
      </c>
      <c r="DI24" s="6">
        <v>0.117409</v>
      </c>
      <c r="DJ24" s="6">
        <v>0.11743199999999999</v>
      </c>
      <c r="DK24" s="6">
        <v>-0.12235500000000001</v>
      </c>
      <c r="DL24" s="6">
        <v>-0.21020900000000001</v>
      </c>
      <c r="DM24" s="6">
        <v>-0.231962</v>
      </c>
      <c r="DN24" s="6">
        <v>0.167352</v>
      </c>
      <c r="DO24" s="6">
        <v>3.4104000000000002E-2</v>
      </c>
      <c r="DP24" s="6">
        <v>-9.3715000000000007E-2</v>
      </c>
      <c r="DQ24" s="6">
        <v>0.100838</v>
      </c>
      <c r="DR24" s="6">
        <v>0.216226</v>
      </c>
      <c r="DS24" s="6">
        <v>0.124086</v>
      </c>
      <c r="DT24" s="6">
        <v>2.0521999999999999E-2</v>
      </c>
      <c r="DU24" s="6">
        <v>-6.1817999999999998E-2</v>
      </c>
      <c r="DW24" s="1">
        <v>-8.4842504605553731E-2</v>
      </c>
      <c r="DY24" s="6">
        <v>-3.8684000000000003E-2</v>
      </c>
      <c r="EA24" s="1">
        <f t="shared" si="19"/>
        <v>0</v>
      </c>
      <c r="EC24" s="6">
        <v>0.118766</v>
      </c>
    </row>
    <row r="25" spans="6:133" s="1" customFormat="1" ht="15" customHeight="1" x14ac:dyDescent="0.35">
      <c r="F25" s="1">
        <v>0.114609</v>
      </c>
      <c r="G25" s="1">
        <v>0.31974000000000002</v>
      </c>
      <c r="H25" s="1">
        <v>0.14107800000000001</v>
      </c>
      <c r="J25" s="1">
        <v>0</v>
      </c>
      <c r="K25" s="1">
        <v>0</v>
      </c>
      <c r="L25" s="1">
        <v>0</v>
      </c>
      <c r="N25" s="1">
        <v>-8.2789999999999999E-3</v>
      </c>
      <c r="O25" s="1">
        <v>1.9665999999999999E-2</v>
      </c>
      <c r="P25" s="1">
        <v>7.3205999999999993E-2</v>
      </c>
      <c r="R25" s="1">
        <v>7.3205999999999993E-2</v>
      </c>
      <c r="S25" s="1">
        <v>1.9665999999999999E-2</v>
      </c>
      <c r="T25" s="1">
        <v>-8.2789999999999999E-3</v>
      </c>
      <c r="X25" s="1">
        <f t="shared" ref="X25:X26" si="46">J25+R25+$V$8</f>
        <v>2.1867999999999992E-2</v>
      </c>
      <c r="Y25" s="1">
        <f t="shared" si="42"/>
        <v>-3.1672000000000006E-2</v>
      </c>
      <c r="Z25" s="1">
        <f t="shared" si="43"/>
        <v>-5.9617000000000003E-2</v>
      </c>
      <c r="AB25" s="1">
        <f t="shared" ref="AB25:AB26" si="47">MAX(0,X25)</f>
        <v>2.1867999999999992E-2</v>
      </c>
      <c r="AC25" s="1">
        <f t="shared" si="44"/>
        <v>0</v>
      </c>
      <c r="AD25" s="1">
        <f t="shared" si="45"/>
        <v>0</v>
      </c>
      <c r="AH25" s="1">
        <v>4.1196031799999987E-3</v>
      </c>
      <c r="AI25" s="1">
        <v>0</v>
      </c>
      <c r="AJ25" s="1">
        <v>0</v>
      </c>
      <c r="AN25" s="1">
        <v>3.8225263999999983E-5</v>
      </c>
      <c r="AO25" s="1">
        <v>0</v>
      </c>
      <c r="AP25" s="1">
        <v>0</v>
      </c>
      <c r="AT25" s="1">
        <v>9.6129103839999955E-3</v>
      </c>
      <c r="AU25" s="1">
        <v>0</v>
      </c>
      <c r="AV25" s="1">
        <v>0</v>
      </c>
      <c r="AZ25" s="1">
        <v>-3.0323699559999993E-3</v>
      </c>
      <c r="BA25" s="1">
        <v>0</v>
      </c>
      <c r="BB25" s="1">
        <v>0</v>
      </c>
      <c r="BJ25" s="1">
        <v>0.28106559923300001</v>
      </c>
      <c r="BL25" s="1">
        <f t="shared" si="14"/>
        <v>0.28106559923300001</v>
      </c>
      <c r="BN25" s="1">
        <v>-7.9258999999999996E-2</v>
      </c>
      <c r="BO25" s="1">
        <v>-0.12840199999999999</v>
      </c>
      <c r="BP25" s="1">
        <v>-0.24399000000000001</v>
      </c>
      <c r="BQ25" s="1">
        <v>8.0942E-2</v>
      </c>
      <c r="BR25" s="1">
        <v>-0.169379</v>
      </c>
      <c r="BS25" s="1">
        <v>0.22331699999999999</v>
      </c>
      <c r="BT25" s="1">
        <v>-7.5119000000000005E-2</v>
      </c>
      <c r="BU25" s="1">
        <v>-1.4137E-2</v>
      </c>
      <c r="BV25" s="1">
        <v>-0.107944</v>
      </c>
      <c r="CJ25" s="1">
        <v>-3.8606204559999985E-3</v>
      </c>
      <c r="CK25" s="1">
        <v>0</v>
      </c>
      <c r="CL25" s="1">
        <v>0</v>
      </c>
      <c r="CP25" s="1">
        <v>3.0153347839999992E-3</v>
      </c>
      <c r="CQ25" s="1">
        <v>0</v>
      </c>
      <c r="CR25" s="1">
        <v>0</v>
      </c>
      <c r="CZ25" s="1">
        <v>4.5163262841000001E-2</v>
      </c>
      <c r="DB25" s="1">
        <f t="shared" si="18"/>
        <v>4.5163262841000001E-2</v>
      </c>
      <c r="DD25" s="6">
        <v>-9.6274999999999999E-2</v>
      </c>
      <c r="DE25" s="6">
        <v>-0.17146</v>
      </c>
      <c r="DF25" s="6">
        <v>0.13325400000000001</v>
      </c>
      <c r="DG25" s="6">
        <v>0.16911599999999999</v>
      </c>
      <c r="DH25" s="6">
        <v>0.15767400000000001</v>
      </c>
      <c r="DI25" s="6">
        <v>-0.11907</v>
      </c>
      <c r="DJ25" s="6">
        <v>0.25776900000000003</v>
      </c>
      <c r="DK25" s="6">
        <v>0.17810699999999999</v>
      </c>
      <c r="DL25" s="6">
        <v>0.204621</v>
      </c>
      <c r="DM25" s="6">
        <v>-0.192084</v>
      </c>
      <c r="DN25" s="6">
        <v>-3.5678000000000001E-2</v>
      </c>
      <c r="DO25" s="6">
        <v>-0.109958</v>
      </c>
      <c r="DP25" s="6">
        <v>-0.252081</v>
      </c>
      <c r="DQ25" s="6">
        <v>-0.20561499999999999</v>
      </c>
      <c r="DR25" s="6">
        <v>-2.0070000000000001E-3</v>
      </c>
      <c r="DS25" s="6">
        <v>0.10663599999999999</v>
      </c>
      <c r="DT25" s="6">
        <v>-0.18457299999999999</v>
      </c>
      <c r="DU25" s="6">
        <v>1.519E-3</v>
      </c>
      <c r="DW25" s="1">
        <v>0.19623353135424748</v>
      </c>
      <c r="DY25" s="6">
        <v>0.12948399999999999</v>
      </c>
      <c r="EA25" s="1">
        <f t="shared" si="19"/>
        <v>0.32571753135424747</v>
      </c>
      <c r="EC25" s="6">
        <v>-9.8766000000000007E-2</v>
      </c>
    </row>
    <row r="26" spans="6:133" s="1" customFormat="1" ht="15" customHeight="1" x14ac:dyDescent="0.35">
      <c r="F26" s="1">
        <v>-7.6322000000000001E-2</v>
      </c>
      <c r="G26" s="1">
        <v>1.7359999999999999E-3</v>
      </c>
      <c r="H26" s="1">
        <v>0.237451</v>
      </c>
      <c r="J26" s="1">
        <v>0</v>
      </c>
      <c r="K26" s="1">
        <v>0</v>
      </c>
      <c r="L26" s="1">
        <v>0</v>
      </c>
      <c r="N26" s="1">
        <v>-0.115534</v>
      </c>
      <c r="O26" s="1">
        <v>0.15304100000000001</v>
      </c>
      <c r="P26" s="1">
        <v>-9.7090000000000006E-3</v>
      </c>
      <c r="R26" s="1">
        <v>0.26255099999999998</v>
      </c>
      <c r="S26" s="1">
        <v>2.9741E-2</v>
      </c>
      <c r="T26" s="1">
        <v>-0.153973</v>
      </c>
      <c r="X26" s="1">
        <f t="shared" si="46"/>
        <v>0.21121299999999998</v>
      </c>
      <c r="Y26" s="1">
        <f t="shared" si="42"/>
        <v>-2.1597000000000002E-2</v>
      </c>
      <c r="Z26" s="1">
        <f t="shared" si="43"/>
        <v>-0.20531099999999999</v>
      </c>
      <c r="AB26" s="1">
        <f t="shared" si="47"/>
        <v>0.21121299999999998</v>
      </c>
      <c r="AC26" s="1">
        <f t="shared" si="44"/>
        <v>0</v>
      </c>
      <c r="AD26" s="1">
        <f t="shared" si="45"/>
        <v>0</v>
      </c>
      <c r="AH26" s="1">
        <v>3.9789361004999996E-2</v>
      </c>
      <c r="AI26" s="1">
        <v>0</v>
      </c>
      <c r="AJ26" s="1">
        <v>0</v>
      </c>
      <c r="AN26" s="1">
        <v>3.6920032399999998E-4</v>
      </c>
      <c r="AO26" s="1">
        <v>0</v>
      </c>
      <c r="AP26" s="1">
        <v>0</v>
      </c>
      <c r="AT26" s="1">
        <v>9.2846700243999991E-2</v>
      </c>
      <c r="AU26" s="1">
        <v>0</v>
      </c>
      <c r="AV26" s="1">
        <v>0</v>
      </c>
      <c r="AZ26" s="1">
        <v>-2.9288273071000001E-2</v>
      </c>
      <c r="BA26" s="1">
        <v>0</v>
      </c>
      <c r="BB26" s="1">
        <v>0</v>
      </c>
      <c r="BJ26" s="1" cm="1">
        <f t="array" ref="BJ26:BJ34">_xlfn.TOCOL(BF16:BH18)</f>
        <v>-3.3716344391999983E-2</v>
      </c>
      <c r="BL26" s="1">
        <f t="shared" si="14"/>
        <v>0</v>
      </c>
      <c r="BN26" s="1">
        <v>1.3214E-2</v>
      </c>
      <c r="BO26" s="1">
        <v>2.0118E-2</v>
      </c>
      <c r="BP26" s="1">
        <v>6.8916000000000005E-2</v>
      </c>
      <c r="BQ26" s="1">
        <v>-0.32979599999999998</v>
      </c>
      <c r="BR26" s="1">
        <v>-5.1256000000000003E-2</v>
      </c>
      <c r="BS26" s="1">
        <v>3.3528000000000002E-2</v>
      </c>
      <c r="BT26" s="1">
        <v>0.12396799999999999</v>
      </c>
      <c r="BU26" s="1">
        <v>8.3817000000000003E-2</v>
      </c>
      <c r="BV26" s="1">
        <v>7.9477999999999993E-2</v>
      </c>
      <c r="CJ26" s="1">
        <v>-3.7287965446E-2</v>
      </c>
      <c r="CK26" s="1">
        <v>0</v>
      </c>
      <c r="CL26" s="1">
        <v>0</v>
      </c>
      <c r="CP26" s="1">
        <v>2.9123738143999999E-2</v>
      </c>
      <c r="CQ26" s="1">
        <v>0</v>
      </c>
      <c r="CR26" s="1">
        <v>0</v>
      </c>
      <c r="DD26" s="6">
        <v>0.127577</v>
      </c>
      <c r="DE26" s="6">
        <v>-2.1097999999999999E-2</v>
      </c>
      <c r="DF26" s="6">
        <v>8.5864999999999997E-2</v>
      </c>
      <c r="DG26" s="6">
        <v>0.18274199999999999</v>
      </c>
      <c r="DH26" s="6">
        <v>-3.9775999999999999E-2</v>
      </c>
      <c r="DI26" s="6">
        <v>-0.14596500000000001</v>
      </c>
      <c r="DJ26" s="6">
        <v>0.1802</v>
      </c>
      <c r="DK26" s="6">
        <v>-9.0028999999999998E-2</v>
      </c>
      <c r="DL26" s="6">
        <v>-0.23569100000000001</v>
      </c>
      <c r="DM26" s="6">
        <v>-0.18776699999999999</v>
      </c>
      <c r="DN26" s="6">
        <v>9.5834000000000003E-2</v>
      </c>
      <c r="DO26" s="6">
        <v>0.18737599999999999</v>
      </c>
      <c r="DP26" s="6">
        <v>-9.6000000000000002E-5</v>
      </c>
      <c r="DQ26" s="6">
        <v>-0.20468700000000001</v>
      </c>
      <c r="DR26" s="6">
        <v>0.122304</v>
      </c>
      <c r="DS26" s="6">
        <v>9.3885999999999997E-2</v>
      </c>
      <c r="DT26" s="6">
        <v>0.15993399999999999</v>
      </c>
      <c r="DU26" s="6">
        <v>0.13137199999999999</v>
      </c>
      <c r="DW26" s="1">
        <v>7.2782762548737889E-2</v>
      </c>
      <c r="DY26" s="6">
        <v>0.16792199999999999</v>
      </c>
      <c r="EA26" s="1">
        <f t="shared" si="19"/>
        <v>0.24070476254873788</v>
      </c>
      <c r="EC26" s="6">
        <v>-2.3363999999999999E-2</v>
      </c>
    </row>
    <row r="27" spans="6:133" s="1" customFormat="1" ht="15" customHeight="1" x14ac:dyDescent="0.35">
      <c r="BJ27" s="1">
        <v>0.21054984076700003</v>
      </c>
      <c r="BL27" s="1">
        <f t="shared" si="14"/>
        <v>0.21054984076700003</v>
      </c>
      <c r="BN27" s="1">
        <v>0.15068000000000001</v>
      </c>
      <c r="BO27" s="1">
        <v>5.3670000000000002E-3</v>
      </c>
      <c r="BP27" s="1">
        <v>0.115634</v>
      </c>
      <c r="BQ27" s="1">
        <v>0.162048</v>
      </c>
      <c r="BR27" s="1">
        <v>-9.8265000000000005E-2</v>
      </c>
      <c r="BS27" s="1">
        <v>-0.29319600000000001</v>
      </c>
      <c r="BT27" s="1">
        <v>-9.5735000000000001E-2</v>
      </c>
      <c r="BU27" s="1">
        <v>8.7176000000000003E-2</v>
      </c>
      <c r="BV27" s="1">
        <v>0.124528</v>
      </c>
      <c r="DD27" s="6">
        <v>1.8301000000000001E-2</v>
      </c>
      <c r="DE27" s="6">
        <v>-0.18970999999999999</v>
      </c>
      <c r="DF27" s="6">
        <v>-1.4922E-2</v>
      </c>
      <c r="DG27" s="6">
        <v>1.6670000000000001E-2</v>
      </c>
      <c r="DH27" s="6">
        <v>0.10356899999999999</v>
      </c>
      <c r="DI27" s="6">
        <v>-0.151814</v>
      </c>
      <c r="DJ27" s="6">
        <v>-8.0353999999999995E-2</v>
      </c>
      <c r="DK27" s="6">
        <v>7.2940000000000005E-2</v>
      </c>
      <c r="DL27" s="6">
        <v>7.9518000000000005E-2</v>
      </c>
      <c r="DM27" s="6">
        <v>4.4349E-2</v>
      </c>
      <c r="DN27" s="6">
        <v>-0.15066099999999999</v>
      </c>
      <c r="DO27" s="6">
        <v>-0.202515</v>
      </c>
      <c r="DP27" s="6">
        <v>-6.9379999999999997E-2</v>
      </c>
      <c r="DQ27" s="6">
        <v>0.10417899999999999</v>
      </c>
      <c r="DR27" s="6">
        <v>4.7388E-2</v>
      </c>
      <c r="DS27" s="6">
        <v>0.137017</v>
      </c>
      <c r="DT27" s="6">
        <v>0.18168000000000001</v>
      </c>
      <c r="DU27" s="6">
        <v>0.124234</v>
      </c>
      <c r="DW27" s="1">
        <v>-3.0571412111937368E-2</v>
      </c>
      <c r="DY27" s="6">
        <v>-0.16694500000000001</v>
      </c>
      <c r="EA27" s="1">
        <f t="shared" si="19"/>
        <v>0</v>
      </c>
      <c r="EC27" s="6">
        <v>-5.8177E-2</v>
      </c>
    </row>
    <row r="28" spans="6:133" s="1" customFormat="1" ht="15" customHeight="1" x14ac:dyDescent="0.35">
      <c r="F28" s="1">
        <v>-0.19649</v>
      </c>
      <c r="G28" s="1">
        <v>0.20862900000000001</v>
      </c>
      <c r="H28" s="1">
        <v>9.2271000000000006E-2</v>
      </c>
      <c r="J28" s="1" cm="1">
        <f t="array" ref="J28:L30">Conv2D($B$8:$D$10,F28:H30)</f>
        <v>0</v>
      </c>
      <c r="K28" s="1">
        <v>0</v>
      </c>
      <c r="L28" s="1">
        <v>0</v>
      </c>
      <c r="N28" s="1">
        <v>-0.142569</v>
      </c>
      <c r="O28" s="1">
        <v>0.119778</v>
      </c>
      <c r="P28" s="1">
        <v>-0.116949</v>
      </c>
      <c r="R28" s="1" cm="1">
        <f t="array" ref="R28:T30">Conv2D($B$12:$D$14,N28:P30)</f>
        <v>0.14013999999999999</v>
      </c>
      <c r="S28" s="1">
        <v>0.15648599999999999</v>
      </c>
      <c r="T28" s="1">
        <v>-0.11949799999999999</v>
      </c>
      <c r="V28" s="1">
        <v>0.20886399999999999</v>
      </c>
      <c r="X28" s="1">
        <f>J28+R28+$V$8</f>
        <v>8.8801999999999992E-2</v>
      </c>
      <c r="Y28" s="1">
        <f t="shared" ref="Y28:Y30" si="48">K28+S28+$V$8</f>
        <v>0.10514799999999999</v>
      </c>
      <c r="Z28" s="1">
        <f t="shared" ref="Z28:Z30" si="49">L28+T28+$V$8</f>
        <v>-0.17083599999999999</v>
      </c>
      <c r="AB28" s="1">
        <f>MAX(0,X28)</f>
        <v>8.8801999999999992E-2</v>
      </c>
      <c r="AC28" s="1">
        <f t="shared" ref="AC28:AC30" si="50">MAX(0,Y28)</f>
        <v>0.10514799999999999</v>
      </c>
      <c r="AD28" s="1">
        <f t="shared" ref="AD28:AD30" si="51">MAX(0,Z28)</f>
        <v>0</v>
      </c>
      <c r="AF28" s="1">
        <v>4.9709999999999997E-2</v>
      </c>
      <c r="AH28" s="1" cm="1">
        <f t="array" ref="AH28:AJ30">Conv($AB$28:$AD$30,AF28)</f>
        <v>4.4143474199999991E-3</v>
      </c>
      <c r="AI28" s="1">
        <v>5.2269070799999991E-3</v>
      </c>
      <c r="AJ28" s="1">
        <v>0</v>
      </c>
      <c r="AL28" s="1">
        <v>-0.23056099999999999</v>
      </c>
      <c r="AN28" s="1" cm="1">
        <f t="array" ref="AN28:AP30">Conv($AB$28:$AD$30,AL28)</f>
        <v>-2.0474277921999996E-2</v>
      </c>
      <c r="AO28" s="1">
        <v>-2.4243028027999998E-2</v>
      </c>
      <c r="AP28" s="1">
        <v>0</v>
      </c>
      <c r="AR28" s="1">
        <v>-7.9570000000000005E-3</v>
      </c>
      <c r="AT28" s="1" cm="1">
        <f t="array" ref="AT28:AV30">Conv($AB$28:$AD$30,AR28)</f>
        <v>-7.06597514E-4</v>
      </c>
      <c r="AU28" s="1">
        <v>-8.3666263600000001E-4</v>
      </c>
      <c r="AV28" s="1">
        <v>0</v>
      </c>
      <c r="AX28" s="1">
        <v>0.21154600000000001</v>
      </c>
      <c r="AZ28" s="1" cm="1">
        <f t="array" ref="AZ28:BB30">Conv($AB$28:$AD$30,AX28)</f>
        <v>1.8785707892E-2</v>
      </c>
      <c r="BA28" s="1">
        <v>2.2243638808E-2</v>
      </c>
      <c r="BB28" s="1">
        <v>0</v>
      </c>
      <c r="BJ28" s="1">
        <v>-0.109186046047</v>
      </c>
      <c r="BL28" s="1">
        <f t="shared" si="14"/>
        <v>0</v>
      </c>
      <c r="BN28" s="1">
        <v>9.3376000000000001E-2</v>
      </c>
      <c r="BO28" s="1">
        <v>-0.18366499999999999</v>
      </c>
      <c r="BP28" s="1">
        <v>2.3644999999999999E-2</v>
      </c>
      <c r="BQ28" s="1">
        <v>-5.8092999999999999E-2</v>
      </c>
      <c r="BR28" s="1">
        <v>3.6902999999999998E-2</v>
      </c>
      <c r="BS28" s="1">
        <v>-0.43683499999999997</v>
      </c>
      <c r="BT28" s="1">
        <v>-8.7362999999999996E-2</v>
      </c>
      <c r="BU28" s="1">
        <v>9.7850000000000003E-3</v>
      </c>
      <c r="BV28" s="1">
        <v>5.9924999999999999E-2</v>
      </c>
      <c r="CH28" s="1">
        <v>0.114483</v>
      </c>
      <c r="CJ28" s="1" cm="1">
        <f t="array" ref="CJ28:CL30">Conv($AB$28:$AD$30,CH28)</f>
        <v>1.0166319365999999E-2</v>
      </c>
      <c r="CK28" s="1">
        <v>1.2037658483999999E-2</v>
      </c>
      <c r="CL28" s="1">
        <v>0</v>
      </c>
      <c r="CN28" s="1">
        <v>0.26943800000000001</v>
      </c>
      <c r="CP28" s="1" cm="1">
        <f t="array" ref="CP28:CR30">Conv($AB$28:$AD$30,CN28)</f>
        <v>2.3926633276E-2</v>
      </c>
      <c r="CQ28" s="1">
        <v>2.8330866824E-2</v>
      </c>
      <c r="CR28" s="1">
        <v>0</v>
      </c>
      <c r="DD28" s="6">
        <v>0.18220500000000001</v>
      </c>
      <c r="DE28" s="6">
        <v>2.7734000000000002E-2</v>
      </c>
      <c r="DF28" s="6">
        <v>0.13844899999999999</v>
      </c>
      <c r="DG28" s="6">
        <v>-3.1980000000000001E-2</v>
      </c>
      <c r="DH28" s="6">
        <v>5.8840000000000003E-3</v>
      </c>
      <c r="DI28" s="6">
        <v>-0.27429900000000002</v>
      </c>
      <c r="DJ28" s="6">
        <v>0.26962000000000003</v>
      </c>
      <c r="DK28" s="6">
        <v>4.0073999999999999E-2</v>
      </c>
      <c r="DL28" s="6">
        <v>0.18290000000000001</v>
      </c>
      <c r="DM28" s="6">
        <v>-7.6275999999999997E-2</v>
      </c>
      <c r="DN28" s="6">
        <v>3.3839999999999999E-3</v>
      </c>
      <c r="DO28" s="6">
        <v>-0.20769499999999999</v>
      </c>
      <c r="DP28" s="6">
        <v>-2.2728000000000002E-2</v>
      </c>
      <c r="DQ28" s="6">
        <v>-0.173072</v>
      </c>
      <c r="DR28" s="6">
        <v>-5.9430000000000004E-3</v>
      </c>
      <c r="DS28" s="6">
        <v>-0.25883299999999998</v>
      </c>
      <c r="DT28" s="6">
        <v>3.5744999999999999E-2</v>
      </c>
      <c r="DU28" s="6">
        <v>-2.0410999999999999E-2</v>
      </c>
      <c r="DW28" s="1">
        <v>0.17175972936108105</v>
      </c>
      <c r="DY28" s="6">
        <v>0.22536900000000001</v>
      </c>
      <c r="EA28" s="1">
        <f t="shared" si="19"/>
        <v>0.39712872936108107</v>
      </c>
      <c r="EC28" s="6">
        <v>-9.0496999999999994E-2</v>
      </c>
    </row>
    <row r="29" spans="6:133" s="1" customFormat="1" ht="15" customHeight="1" x14ac:dyDescent="0.35">
      <c r="F29" s="1">
        <v>0.31957099999999999</v>
      </c>
      <c r="G29" s="1">
        <v>-1.5901999999999999E-2</v>
      </c>
      <c r="H29" s="1">
        <v>0.26907700000000001</v>
      </c>
      <c r="J29" s="1">
        <v>0</v>
      </c>
      <c r="K29" s="1">
        <v>0</v>
      </c>
      <c r="L29" s="1">
        <v>0</v>
      </c>
      <c r="N29" s="1">
        <v>-0.20182</v>
      </c>
      <c r="O29" s="1">
        <v>-8.0015000000000003E-2</v>
      </c>
      <c r="P29" s="1">
        <v>-0.19928899999999999</v>
      </c>
      <c r="R29" s="1">
        <v>-0.19928899999999999</v>
      </c>
      <c r="S29" s="1">
        <v>-8.0015000000000003E-2</v>
      </c>
      <c r="T29" s="1">
        <v>-0.20182</v>
      </c>
      <c r="X29" s="1">
        <f t="shared" ref="X29:X30" si="52">J29+R29+$V$8</f>
        <v>-0.25062699999999999</v>
      </c>
      <c r="Y29" s="1">
        <f t="shared" si="48"/>
        <v>-0.131353</v>
      </c>
      <c r="Z29" s="1">
        <f t="shared" si="49"/>
        <v>-0.25315799999999999</v>
      </c>
      <c r="AB29" s="1">
        <f t="shared" ref="AB29:AB30" si="53">MAX(0,X29)</f>
        <v>0</v>
      </c>
      <c r="AC29" s="1">
        <f t="shared" si="50"/>
        <v>0</v>
      </c>
      <c r="AD29" s="1">
        <f t="shared" si="51"/>
        <v>0</v>
      </c>
      <c r="AH29" s="1">
        <v>0</v>
      </c>
      <c r="AI29" s="1">
        <v>0</v>
      </c>
      <c r="AJ29" s="1">
        <v>0</v>
      </c>
      <c r="AN29" s="1">
        <v>0</v>
      </c>
      <c r="AO29" s="1">
        <v>0</v>
      </c>
      <c r="AP29" s="1">
        <v>0</v>
      </c>
      <c r="AT29" s="1">
        <v>0</v>
      </c>
      <c r="AU29" s="1">
        <v>0</v>
      </c>
      <c r="AV29" s="1">
        <v>0</v>
      </c>
      <c r="AZ29" s="1">
        <v>0</v>
      </c>
      <c r="BA29" s="1">
        <v>0</v>
      </c>
      <c r="BB29" s="1">
        <v>0</v>
      </c>
      <c r="BJ29" s="1">
        <v>-2.436698681299998E-2</v>
      </c>
      <c r="BL29" s="1">
        <f t="shared" si="14"/>
        <v>0</v>
      </c>
      <c r="BN29" s="1">
        <v>7.058E-3</v>
      </c>
      <c r="BO29" s="1">
        <v>-9.6443000000000001E-2</v>
      </c>
      <c r="BP29" s="1">
        <v>-3.5246E-2</v>
      </c>
      <c r="BQ29" s="1">
        <v>-6.4257999999999996E-2</v>
      </c>
      <c r="BR29" s="1">
        <v>0.100427</v>
      </c>
      <c r="BS29" s="1">
        <v>-0.10025000000000001</v>
      </c>
      <c r="BT29" s="1">
        <v>-0.102511</v>
      </c>
      <c r="BU29" s="1">
        <v>9.1107999999999995E-2</v>
      </c>
      <c r="BV29" s="1">
        <v>9.2506000000000005E-2</v>
      </c>
      <c r="CJ29" s="1">
        <v>0</v>
      </c>
      <c r="CK29" s="1">
        <v>0</v>
      </c>
      <c r="CL29" s="1">
        <v>0</v>
      </c>
      <c r="CP29" s="1">
        <v>0</v>
      </c>
      <c r="CQ29" s="1">
        <v>0</v>
      </c>
      <c r="CR29" s="1">
        <v>0</v>
      </c>
      <c r="DD29" s="6">
        <v>0.12733700000000001</v>
      </c>
      <c r="DE29" s="6">
        <v>-8.6605000000000001E-2</v>
      </c>
      <c r="DF29" s="6">
        <v>5.4578000000000002E-2</v>
      </c>
      <c r="DG29" s="6">
        <v>-9.9696000000000007E-2</v>
      </c>
      <c r="DH29" s="6">
        <v>2.1874999999999999E-2</v>
      </c>
      <c r="DI29" s="6">
        <v>-0.216195</v>
      </c>
      <c r="DJ29" s="6">
        <v>0.139294</v>
      </c>
      <c r="DK29" s="6">
        <v>-4.9780999999999999E-2</v>
      </c>
      <c r="DL29" s="6">
        <v>0.17968500000000001</v>
      </c>
      <c r="DM29" s="6">
        <v>-0.13273799999999999</v>
      </c>
      <c r="DN29" s="6">
        <v>-0.116538</v>
      </c>
      <c r="DO29" s="6">
        <v>-5.8958999999999998E-2</v>
      </c>
      <c r="DP29" s="6">
        <v>-0.26137300000000002</v>
      </c>
      <c r="DQ29" s="6">
        <v>0.13405700000000001</v>
      </c>
      <c r="DR29" s="6">
        <v>-0.15103</v>
      </c>
      <c r="DS29" s="6">
        <v>-7.8458E-2</v>
      </c>
      <c r="DT29" s="6">
        <v>1.1782000000000001E-2</v>
      </c>
      <c r="DU29" s="6">
        <v>0.147228</v>
      </c>
      <c r="DW29" s="1">
        <v>5.9281138335674846E-2</v>
      </c>
      <c r="DY29" s="6">
        <v>0.21635499999999999</v>
      </c>
      <c r="EA29" s="1">
        <f t="shared" si="19"/>
        <v>0.27563613833567485</v>
      </c>
      <c r="EC29" s="6">
        <v>-0.114718</v>
      </c>
    </row>
    <row r="30" spans="6:133" s="1" customFormat="1" ht="15" customHeight="1" x14ac:dyDescent="0.35">
      <c r="F30" s="1">
        <v>-9.3829999999999997E-2</v>
      </c>
      <c r="G30" s="1">
        <v>0.30133799999999999</v>
      </c>
      <c r="H30" s="1">
        <v>5.2477999999999997E-2</v>
      </c>
      <c r="J30" s="1">
        <v>0</v>
      </c>
      <c r="K30" s="1">
        <v>0</v>
      </c>
      <c r="L30" s="1">
        <v>0</v>
      </c>
      <c r="N30" s="1">
        <v>-0.11949799999999999</v>
      </c>
      <c r="O30" s="1">
        <v>0.15648599999999999</v>
      </c>
      <c r="P30" s="1">
        <v>0.14013999999999999</v>
      </c>
      <c r="R30" s="1">
        <v>-0.116949</v>
      </c>
      <c r="S30" s="1">
        <v>0.119778</v>
      </c>
      <c r="T30" s="1">
        <v>-0.142569</v>
      </c>
      <c r="X30" s="1">
        <f t="shared" si="52"/>
        <v>-0.16828699999999999</v>
      </c>
      <c r="Y30" s="1">
        <f t="shared" si="48"/>
        <v>6.8440000000000001E-2</v>
      </c>
      <c r="Z30" s="1">
        <f t="shared" si="49"/>
        <v>-0.193907</v>
      </c>
      <c r="AB30" s="1">
        <f t="shared" si="53"/>
        <v>0</v>
      </c>
      <c r="AC30" s="1">
        <f t="shared" si="50"/>
        <v>6.8440000000000001E-2</v>
      </c>
      <c r="AD30" s="1">
        <f t="shared" si="51"/>
        <v>0</v>
      </c>
      <c r="AH30" s="1">
        <v>0</v>
      </c>
      <c r="AI30" s="1">
        <v>3.4021524E-3</v>
      </c>
      <c r="AJ30" s="1">
        <v>0</v>
      </c>
      <c r="AN30" s="1">
        <v>0</v>
      </c>
      <c r="AO30" s="1">
        <v>-1.5779594840000001E-2</v>
      </c>
      <c r="AP30" s="1">
        <v>0</v>
      </c>
      <c r="AT30" s="1">
        <v>0</v>
      </c>
      <c r="AU30" s="1">
        <v>-5.4457708000000009E-4</v>
      </c>
      <c r="AV30" s="1">
        <v>0</v>
      </c>
      <c r="AZ30" s="1">
        <v>0</v>
      </c>
      <c r="BA30" s="1">
        <v>1.447820824E-2</v>
      </c>
      <c r="BB30" s="1">
        <v>0</v>
      </c>
      <c r="BJ30" s="1">
        <v>3.3227235729999971E-2</v>
      </c>
      <c r="BL30" s="1">
        <f t="shared" si="14"/>
        <v>3.3227235729999971E-2</v>
      </c>
      <c r="BN30" s="1">
        <v>0.14097999999999999</v>
      </c>
      <c r="BO30" s="1">
        <v>-8.7801000000000004E-2</v>
      </c>
      <c r="BP30" s="1">
        <v>-0.14621899999999999</v>
      </c>
      <c r="BQ30" s="1">
        <v>-8.9244000000000004E-2</v>
      </c>
      <c r="BR30" s="1">
        <v>0.23183699999999999</v>
      </c>
      <c r="BS30" s="1">
        <v>-0.16150999999999999</v>
      </c>
      <c r="BT30" s="1">
        <v>0.16397999999999999</v>
      </c>
      <c r="BU30" s="1">
        <v>-8.2291000000000003E-2</v>
      </c>
      <c r="BV30" s="1">
        <v>-0.15676300000000001</v>
      </c>
      <c r="CJ30" s="1">
        <v>0</v>
      </c>
      <c r="CK30" s="1">
        <v>7.8352165200000004E-3</v>
      </c>
      <c r="CL30" s="1">
        <v>0</v>
      </c>
      <c r="CP30" s="1">
        <v>0</v>
      </c>
      <c r="CQ30" s="1">
        <v>1.8440336720000002E-2</v>
      </c>
      <c r="CR30" s="1">
        <v>0</v>
      </c>
      <c r="DD30" s="6">
        <v>-0.14744499999999999</v>
      </c>
      <c r="DE30" s="6">
        <v>-2.1531999999999999E-2</v>
      </c>
      <c r="DF30" s="6">
        <v>5.2609000000000003E-2</v>
      </c>
      <c r="DG30" s="6">
        <v>-2.2054000000000001E-2</v>
      </c>
      <c r="DH30" s="6">
        <v>-8.1469999999999997E-3</v>
      </c>
      <c r="DI30" s="6">
        <v>0.226581</v>
      </c>
      <c r="DJ30" s="6">
        <v>-0.19442200000000001</v>
      </c>
      <c r="DK30" s="6">
        <v>2.8462999999999999E-2</v>
      </c>
      <c r="DL30" s="6">
        <v>-5.8511000000000001E-2</v>
      </c>
      <c r="DM30" s="6">
        <v>6.0990999999999997E-2</v>
      </c>
      <c r="DN30" s="6">
        <v>2.8648E-2</v>
      </c>
      <c r="DO30" s="6">
        <v>-0.11179500000000001</v>
      </c>
      <c r="DP30" s="6">
        <v>-7.0907999999999999E-2</v>
      </c>
      <c r="DQ30" s="6">
        <v>-0.17000999999999999</v>
      </c>
      <c r="DR30" s="6">
        <v>-0.154224</v>
      </c>
      <c r="DS30" s="6">
        <v>-6.8668000000000007E-2</v>
      </c>
      <c r="DT30" s="6">
        <v>-0.18360699999999999</v>
      </c>
      <c r="DU30" s="6">
        <v>-0.120975</v>
      </c>
      <c r="DW30" s="1">
        <v>-9.5973261983899966E-2</v>
      </c>
      <c r="DY30" s="6">
        <v>-9.3312000000000006E-2</v>
      </c>
      <c r="EA30" s="1">
        <f t="shared" si="19"/>
        <v>0</v>
      </c>
      <c r="EC30" s="6">
        <v>-3.8577E-2</v>
      </c>
    </row>
    <row r="31" spans="6:133" s="1" customFormat="1" ht="15" customHeight="1" x14ac:dyDescent="0.35">
      <c r="BJ31" s="1">
        <v>1.6367397314000026E-2</v>
      </c>
      <c r="BL31" s="1">
        <f t="shared" si="14"/>
        <v>1.6367397314000026E-2</v>
      </c>
      <c r="BN31" s="1">
        <v>0.159273</v>
      </c>
      <c r="BO31" s="1">
        <v>-4.2034000000000002E-2</v>
      </c>
      <c r="BP31" s="1">
        <v>-0.115175</v>
      </c>
      <c r="BQ31" s="1">
        <v>-5.0243999999999997E-2</v>
      </c>
      <c r="BR31" s="1">
        <v>7.3632000000000003E-2</v>
      </c>
      <c r="BS31" s="1">
        <v>-0.207785</v>
      </c>
      <c r="BT31" s="1">
        <v>-9.3338000000000004E-2</v>
      </c>
      <c r="BU31" s="1">
        <v>-2.2488000000000001E-2</v>
      </c>
      <c r="BV31" s="1">
        <v>-0.10334699999999999</v>
      </c>
      <c r="DD31" s="6">
        <v>0.219972</v>
      </c>
      <c r="DE31" s="6">
        <v>0.19689899999999999</v>
      </c>
      <c r="DF31" s="6">
        <v>0.10792300000000001</v>
      </c>
      <c r="DG31" s="6">
        <v>-4.6538000000000003E-2</v>
      </c>
      <c r="DH31" s="6">
        <v>0.172069</v>
      </c>
      <c r="DI31" s="6">
        <v>-2.3730000000000001E-3</v>
      </c>
      <c r="DJ31" s="6">
        <v>0.20913499999999999</v>
      </c>
      <c r="DK31" s="6">
        <v>-8.7776000000000007E-2</v>
      </c>
      <c r="DL31" s="6">
        <v>-1.3158E-2</v>
      </c>
      <c r="DM31" s="6">
        <v>7.8042E-2</v>
      </c>
      <c r="DN31" s="6">
        <v>-6.7628999999999995E-2</v>
      </c>
      <c r="DO31" s="6">
        <v>0.19986200000000001</v>
      </c>
      <c r="DP31" s="6">
        <v>-0.20557900000000001</v>
      </c>
      <c r="DQ31" s="6">
        <v>-5.8291000000000003E-2</v>
      </c>
      <c r="DR31" s="6">
        <v>-9.1744999999999993E-2</v>
      </c>
      <c r="DS31" s="6">
        <v>-0.12958</v>
      </c>
      <c r="DT31" s="6">
        <v>-0.17041500000000001</v>
      </c>
      <c r="DU31" s="6">
        <v>-0.110238</v>
      </c>
      <c r="DW31" s="1">
        <v>0.27145468846925352</v>
      </c>
      <c r="DY31" s="6">
        <v>3.4218999999999999E-2</v>
      </c>
      <c r="EA31" s="1">
        <f t="shared" si="19"/>
        <v>0.30567368846925352</v>
      </c>
      <c r="EC31" s="6">
        <v>-8.4111000000000005E-2</v>
      </c>
    </row>
    <row r="32" spans="6:133" s="1" customFormat="1" ht="15" customHeight="1" x14ac:dyDescent="0.35">
      <c r="F32" s="1">
        <v>0.15387300000000001</v>
      </c>
      <c r="G32" s="1">
        <v>0.18885199999999999</v>
      </c>
      <c r="H32" s="1">
        <v>-0.20474999999999999</v>
      </c>
      <c r="J32" s="1" cm="1">
        <f t="array" ref="J32:L34">Conv2D($B$8:$D$10,F32:H34)</f>
        <v>0</v>
      </c>
      <c r="K32" s="1">
        <v>0</v>
      </c>
      <c r="L32" s="1">
        <v>0</v>
      </c>
      <c r="N32" s="1">
        <v>-4.4781000000000001E-2</v>
      </c>
      <c r="O32" s="1">
        <v>0.17497299999999999</v>
      </c>
      <c r="P32" s="1">
        <v>-0.14861199999999999</v>
      </c>
      <c r="R32" s="1" cm="1">
        <f t="array" ref="R32:T34">Conv2D($B$12:$D$14,N32:P34)</f>
        <v>0.20778099999999999</v>
      </c>
      <c r="S32" s="1">
        <v>-7.6702999999999993E-2</v>
      </c>
      <c r="T32" s="1">
        <v>-0.30685200000000001</v>
      </c>
      <c r="V32" s="1">
        <v>0.129826</v>
      </c>
      <c r="X32" s="1">
        <f>J32+R32+$V$8</f>
        <v>0.156443</v>
      </c>
      <c r="Y32" s="1">
        <f t="shared" ref="Y32:Y34" si="54">K32+S32+$V$8</f>
        <v>-0.12804099999999999</v>
      </c>
      <c r="Z32" s="1">
        <f t="shared" ref="Z32:Z34" si="55">L32+T32+$V$8</f>
        <v>-0.35819000000000001</v>
      </c>
      <c r="AB32" s="1">
        <f>MAX(0,X32)</f>
        <v>0.156443</v>
      </c>
      <c r="AC32" s="1">
        <f t="shared" ref="AC32:AC34" si="56">MAX(0,Y32)</f>
        <v>0</v>
      </c>
      <c r="AD32" s="1">
        <f t="shared" ref="AD32:AD34" si="57">MAX(0,Z32)</f>
        <v>0</v>
      </c>
      <c r="AF32" s="1">
        <v>-0.101747</v>
      </c>
      <c r="AH32" s="1" cm="1">
        <f t="array" ref="AH32:AJ34">Conv($AB$32:$AD$34,AF32)</f>
        <v>-1.5917605921E-2</v>
      </c>
      <c r="AI32" s="1">
        <v>0</v>
      </c>
      <c r="AJ32" s="1">
        <v>0</v>
      </c>
      <c r="AL32" s="1">
        <v>-0.26107900000000001</v>
      </c>
      <c r="AN32" s="1" cm="1">
        <f t="array" ref="AN32:AP34">Conv($AB$32:$AD$34,AL32)</f>
        <v>-4.0843981996999998E-2</v>
      </c>
      <c r="AO32" s="1">
        <v>0</v>
      </c>
      <c r="AP32" s="1">
        <v>0</v>
      </c>
      <c r="AR32" s="1">
        <v>-0.16015099999999999</v>
      </c>
      <c r="AT32" s="1" cm="1">
        <f t="array" ref="AT32:AV34">Conv($AB$32:$AD$34,AR32)</f>
        <v>-2.5054502892999996E-2</v>
      </c>
      <c r="AU32" s="1">
        <v>0</v>
      </c>
      <c r="AV32" s="1">
        <v>0</v>
      </c>
      <c r="AX32" s="1">
        <v>-0.169349</v>
      </c>
      <c r="AZ32" s="1" cm="1">
        <f t="array" ref="AZ32:BB34">Conv($AB$32:$AD$34,AX32)</f>
        <v>-2.6493465607E-2</v>
      </c>
      <c r="BA32" s="1">
        <v>0</v>
      </c>
      <c r="BB32" s="1">
        <v>0</v>
      </c>
      <c r="BJ32" s="1">
        <v>0.13888611318499997</v>
      </c>
      <c r="BL32" s="1">
        <f t="shared" si="14"/>
        <v>0.13888611318499997</v>
      </c>
      <c r="BN32" s="1">
        <v>0.231993</v>
      </c>
      <c r="BO32" s="1">
        <v>0.20952599999999999</v>
      </c>
      <c r="BP32" s="1">
        <v>-8.9819999999999997E-2</v>
      </c>
      <c r="BQ32" s="1">
        <v>-0.24229999999999999</v>
      </c>
      <c r="BR32" s="1">
        <v>-0.16978399999999999</v>
      </c>
      <c r="BS32" s="1">
        <v>-0.194026</v>
      </c>
      <c r="BT32" s="1">
        <v>0.154534</v>
      </c>
      <c r="BU32" s="1">
        <v>0.112635</v>
      </c>
      <c r="BV32" s="1">
        <v>0.13643</v>
      </c>
      <c r="CH32" s="1">
        <v>0.29290500000000003</v>
      </c>
      <c r="CJ32" s="1" cm="1">
        <f t="array" ref="CJ32:CL34">Conv($AB$32:$AD$34,CH32)</f>
        <v>4.5822936915000001E-2</v>
      </c>
      <c r="CK32" s="1">
        <v>0</v>
      </c>
      <c r="CL32" s="1">
        <v>0</v>
      </c>
      <c r="CN32" s="1">
        <v>-0.20413400000000001</v>
      </c>
      <c r="CP32" s="1" cm="1">
        <f t="array" ref="CP32:CR34">Conv($AB$32:$AD$34,CN32)</f>
        <v>-3.1935335362000002E-2</v>
      </c>
      <c r="CQ32" s="1">
        <v>0</v>
      </c>
      <c r="CR32" s="1">
        <v>0</v>
      </c>
      <c r="DD32" s="6">
        <v>3.1230000000000001E-2</v>
      </c>
      <c r="DE32" s="6">
        <v>9.9852999999999997E-2</v>
      </c>
      <c r="DF32" s="6">
        <v>0.14836299999999999</v>
      </c>
      <c r="DG32" s="6">
        <v>-4.6639E-2</v>
      </c>
      <c r="DH32" s="6">
        <v>1.9919999999999998E-3</v>
      </c>
      <c r="DI32" s="6">
        <v>2.0471E-2</v>
      </c>
      <c r="DJ32" s="6">
        <v>0.104173</v>
      </c>
      <c r="DK32" s="6">
        <v>0.182948</v>
      </c>
      <c r="DL32" s="6">
        <v>-1.9269999999999999E-3</v>
      </c>
      <c r="DM32" s="6">
        <v>-4.8845E-2</v>
      </c>
      <c r="DN32" s="6">
        <v>-0.23166400000000001</v>
      </c>
      <c r="DO32" s="6">
        <v>0.204711</v>
      </c>
      <c r="DP32" s="6">
        <v>-0.16051599999999999</v>
      </c>
      <c r="DQ32" s="6">
        <v>-5.1685000000000002E-2</v>
      </c>
      <c r="DR32" s="6">
        <v>0.22222500000000001</v>
      </c>
      <c r="DS32" s="6">
        <v>-0.109013</v>
      </c>
      <c r="DT32" s="6">
        <v>4.9306999999999997E-2</v>
      </c>
      <c r="DU32" s="6">
        <v>0.15717999999999999</v>
      </c>
      <c r="DW32" s="1">
        <v>0.15007088505088267</v>
      </c>
      <c r="DY32" s="6">
        <v>-9.5030000000000003E-2</v>
      </c>
      <c r="EA32" s="1">
        <f t="shared" si="19"/>
        <v>5.5040885050882671E-2</v>
      </c>
      <c r="EC32" s="6">
        <v>-0.107748</v>
      </c>
    </row>
    <row r="33" spans="6:133" s="1" customFormat="1" ht="15" customHeight="1" x14ac:dyDescent="0.35">
      <c r="F33" s="1">
        <v>1.0872E-2</v>
      </c>
      <c r="G33" s="1">
        <v>-0.16491700000000001</v>
      </c>
      <c r="H33" s="1">
        <v>-0.22842100000000001</v>
      </c>
      <c r="J33" s="1">
        <v>0</v>
      </c>
      <c r="K33" s="1">
        <v>0</v>
      </c>
      <c r="L33" s="1">
        <v>0</v>
      </c>
      <c r="N33" s="1">
        <v>-0.23285900000000001</v>
      </c>
      <c r="O33" s="1">
        <v>-1.6521000000000001E-2</v>
      </c>
      <c r="P33" s="1">
        <v>5.4330000000000003E-2</v>
      </c>
      <c r="R33" s="1">
        <v>5.4330000000000003E-2</v>
      </c>
      <c r="S33" s="1">
        <v>-1.6521000000000001E-2</v>
      </c>
      <c r="T33" s="1">
        <v>-0.23285900000000001</v>
      </c>
      <c r="X33" s="1">
        <f t="shared" ref="X33:X34" si="58">J33+R33+$V$8</f>
        <v>2.9920000000000016E-3</v>
      </c>
      <c r="Y33" s="1">
        <f t="shared" si="54"/>
        <v>-6.7859000000000003E-2</v>
      </c>
      <c r="Z33" s="1">
        <f t="shared" si="55"/>
        <v>-0.28419700000000003</v>
      </c>
      <c r="AB33" s="1">
        <f t="shared" ref="AB33:AB34" si="59">MAX(0,X33)</f>
        <v>2.9920000000000016E-3</v>
      </c>
      <c r="AC33" s="1">
        <f t="shared" si="56"/>
        <v>0</v>
      </c>
      <c r="AD33" s="1">
        <f t="shared" si="57"/>
        <v>0</v>
      </c>
      <c r="AH33" s="1">
        <v>-3.0442702400000019E-4</v>
      </c>
      <c r="AI33" s="1">
        <v>0</v>
      </c>
      <c r="AJ33" s="1">
        <v>0</v>
      </c>
      <c r="AN33" s="1">
        <v>-7.8114836800000044E-4</v>
      </c>
      <c r="AO33" s="1">
        <v>0</v>
      </c>
      <c r="AP33" s="1">
        <v>0</v>
      </c>
      <c r="AT33" s="1">
        <v>-4.7917179200000022E-4</v>
      </c>
      <c r="AU33" s="1">
        <v>0</v>
      </c>
      <c r="AV33" s="1">
        <v>0</v>
      </c>
      <c r="AZ33" s="1">
        <v>-5.0669220800000025E-4</v>
      </c>
      <c r="BA33" s="1">
        <v>0</v>
      </c>
      <c r="BB33" s="1">
        <v>0</v>
      </c>
      <c r="BJ33" s="1">
        <v>0.12644321491800001</v>
      </c>
      <c r="BL33" s="1">
        <f t="shared" si="14"/>
        <v>0.12644321491800001</v>
      </c>
      <c r="BN33" s="1">
        <v>-9.5911999999999997E-2</v>
      </c>
      <c r="BO33" s="1">
        <v>-2.3361E-2</v>
      </c>
      <c r="BP33" s="1">
        <v>0.14727699999999999</v>
      </c>
      <c r="BQ33" s="1">
        <v>0.12508</v>
      </c>
      <c r="BR33" s="1">
        <v>0.104447</v>
      </c>
      <c r="BS33" s="1">
        <v>-0.39041799999999999</v>
      </c>
      <c r="BT33" s="1">
        <v>1.5079E-2</v>
      </c>
      <c r="BU33" s="1">
        <v>-0.258496</v>
      </c>
      <c r="BV33" s="1">
        <v>-0.24094499999999999</v>
      </c>
      <c r="CJ33" s="1">
        <v>8.7637176000000057E-4</v>
      </c>
      <c r="CK33" s="1">
        <v>0</v>
      </c>
      <c r="CL33" s="1">
        <v>0</v>
      </c>
      <c r="CP33" s="1">
        <v>-6.1076892800000033E-4</v>
      </c>
      <c r="CQ33" s="1">
        <v>0</v>
      </c>
      <c r="CR33" s="1">
        <v>0</v>
      </c>
      <c r="DD33" s="6">
        <v>-0.1389</v>
      </c>
      <c r="DE33" s="6">
        <v>-0.238619</v>
      </c>
      <c r="DF33" s="6">
        <v>0.19031100000000001</v>
      </c>
      <c r="DG33" s="6">
        <v>-0.181171</v>
      </c>
      <c r="DH33" s="6">
        <v>0.131693</v>
      </c>
      <c r="DI33" s="6">
        <v>0.111151</v>
      </c>
      <c r="DJ33" s="6">
        <v>8.8475999999999999E-2</v>
      </c>
      <c r="DK33" s="6">
        <v>3.4119999999999998E-2</v>
      </c>
      <c r="DL33" s="6">
        <v>0.140158</v>
      </c>
      <c r="DM33" s="6">
        <v>4.0261999999999999E-2</v>
      </c>
      <c r="DN33" s="6">
        <v>-0.20346</v>
      </c>
      <c r="DO33" s="6">
        <v>-0.16533900000000001</v>
      </c>
      <c r="DP33" s="6">
        <v>-9.9122000000000002E-2</v>
      </c>
      <c r="DQ33" s="6">
        <v>0.189669</v>
      </c>
      <c r="DR33" s="6">
        <v>-0.166325</v>
      </c>
      <c r="DS33" s="6">
        <v>0.20144000000000001</v>
      </c>
      <c r="DT33" s="6">
        <v>6.6150000000000002E-3</v>
      </c>
      <c r="DU33" s="6">
        <v>-0.117119</v>
      </c>
      <c r="DW33" s="1">
        <v>1.4148594734017798E-2</v>
      </c>
      <c r="DY33" s="6">
        <v>-2.5419000000000001E-2</v>
      </c>
      <c r="EA33" s="1">
        <f t="shared" si="19"/>
        <v>0</v>
      </c>
      <c r="EC33" s="6">
        <v>-0.106117</v>
      </c>
    </row>
    <row r="34" spans="6:133" s="1" customFormat="1" ht="15" customHeight="1" x14ac:dyDescent="0.35">
      <c r="F34" s="1">
        <v>-0.17265900000000001</v>
      </c>
      <c r="G34" s="1">
        <v>5.3712000000000003E-2</v>
      </c>
      <c r="H34" s="1">
        <v>-0.25918000000000002</v>
      </c>
      <c r="J34" s="1">
        <v>0</v>
      </c>
      <c r="K34" s="1">
        <v>0</v>
      </c>
      <c r="L34" s="1">
        <v>0</v>
      </c>
      <c r="N34" s="1">
        <v>-0.30685200000000001</v>
      </c>
      <c r="O34" s="1">
        <v>-7.6702999999999993E-2</v>
      </c>
      <c r="P34" s="1">
        <v>0.20778099999999999</v>
      </c>
      <c r="R34" s="1">
        <v>-0.14861199999999999</v>
      </c>
      <c r="S34" s="1">
        <v>0.17497299999999999</v>
      </c>
      <c r="T34" s="1">
        <v>-4.4781000000000001E-2</v>
      </c>
      <c r="X34" s="1">
        <f t="shared" si="58"/>
        <v>-0.19994999999999999</v>
      </c>
      <c r="Y34" s="1">
        <f t="shared" si="54"/>
        <v>0.12363499999999999</v>
      </c>
      <c r="Z34" s="1">
        <f t="shared" si="55"/>
        <v>-9.611900000000001E-2</v>
      </c>
      <c r="AB34" s="1">
        <f t="shared" si="59"/>
        <v>0</v>
      </c>
      <c r="AC34" s="1">
        <f t="shared" si="56"/>
        <v>0.12363499999999999</v>
      </c>
      <c r="AD34" s="1">
        <f t="shared" si="57"/>
        <v>0</v>
      </c>
      <c r="AH34" s="1">
        <v>0</v>
      </c>
      <c r="AI34" s="1">
        <v>-1.2579490345E-2</v>
      </c>
      <c r="AJ34" s="1">
        <v>0</v>
      </c>
      <c r="AN34" s="1">
        <v>0</v>
      </c>
      <c r="AO34" s="1">
        <v>-3.2278502165E-2</v>
      </c>
      <c r="AP34" s="1">
        <v>0</v>
      </c>
      <c r="AT34" s="1">
        <v>0</v>
      </c>
      <c r="AU34" s="1">
        <v>-1.9800268884999996E-2</v>
      </c>
      <c r="AV34" s="1">
        <v>0</v>
      </c>
      <c r="AZ34" s="1">
        <v>0</v>
      </c>
      <c r="BA34" s="1">
        <v>-2.0937463614999999E-2</v>
      </c>
      <c r="BB34" s="1">
        <v>0</v>
      </c>
      <c r="BJ34" s="1">
        <v>-0.121123351517</v>
      </c>
      <c r="BL34" s="1">
        <f t="shared" si="14"/>
        <v>0</v>
      </c>
      <c r="BN34" s="1">
        <v>1.0340999999999999E-2</v>
      </c>
      <c r="BO34" s="1">
        <v>-0.10793899999999999</v>
      </c>
      <c r="BP34" s="1">
        <v>0.17138</v>
      </c>
      <c r="BQ34" s="1">
        <v>-0.16992599999999999</v>
      </c>
      <c r="BR34" s="1">
        <v>0.30771799999999999</v>
      </c>
      <c r="BS34" s="1">
        <v>-0.275474</v>
      </c>
      <c r="BT34" s="1">
        <v>0.13853499999999999</v>
      </c>
      <c r="BU34" s="1">
        <v>-0.11383699999999999</v>
      </c>
      <c r="BV34" s="1">
        <v>-0.38081500000000001</v>
      </c>
      <c r="CJ34" s="1">
        <v>0</v>
      </c>
      <c r="CK34" s="1">
        <v>3.6213309674999999E-2</v>
      </c>
      <c r="CL34" s="1">
        <v>0</v>
      </c>
      <c r="CP34" s="1">
        <v>0</v>
      </c>
      <c r="CQ34" s="1">
        <v>-2.523810709E-2</v>
      </c>
      <c r="CR34" s="1">
        <v>0</v>
      </c>
      <c r="DD34" s="6">
        <v>4.9620000000000003E-3</v>
      </c>
      <c r="DE34" s="6">
        <v>-2.1634E-2</v>
      </c>
      <c r="DF34" s="6">
        <v>0.11556</v>
      </c>
      <c r="DG34" s="6">
        <v>-0.13111700000000001</v>
      </c>
      <c r="DH34" s="6">
        <v>0.187416</v>
      </c>
      <c r="DI34" s="6">
        <v>-4.5344000000000002E-2</v>
      </c>
      <c r="DJ34" s="6">
        <v>-3.7072000000000001E-2</v>
      </c>
      <c r="DK34" s="6">
        <v>-8.2207000000000002E-2</v>
      </c>
      <c r="DL34" s="6">
        <v>0.128077</v>
      </c>
      <c r="DM34" s="6">
        <v>-0.124099</v>
      </c>
      <c r="DN34" s="6">
        <v>0.126056</v>
      </c>
      <c r="DO34" s="6">
        <v>0.13366</v>
      </c>
      <c r="DP34" s="6">
        <v>-0.232571</v>
      </c>
      <c r="DQ34" s="6">
        <v>8.2542000000000004E-2</v>
      </c>
      <c r="DR34" s="6">
        <v>8.7301000000000004E-2</v>
      </c>
      <c r="DS34" s="6">
        <v>0.10272000000000001</v>
      </c>
      <c r="DT34" s="6">
        <v>-0.25194499999999997</v>
      </c>
      <c r="DU34" s="6">
        <v>-0.13248399999999999</v>
      </c>
      <c r="DW34" s="1">
        <v>6.4836649727451262E-2</v>
      </c>
      <c r="DY34" s="6">
        <v>0.13273699999999999</v>
      </c>
      <c r="EA34" s="1">
        <f t="shared" si="19"/>
        <v>0.19757364972745126</v>
      </c>
      <c r="EC34" s="6">
        <v>-0.15057400000000001</v>
      </c>
    </row>
    <row r="35" spans="6:133" s="1" customFormat="1" ht="15" customHeight="1" x14ac:dyDescent="0.35">
      <c r="BJ35" s="1" cm="1">
        <f t="array" ref="BJ35:BJ43">_xlfn.TOCOL(BF20:BH22)</f>
        <v>0.217772328865</v>
      </c>
      <c r="BL35" s="1">
        <f t="shared" si="14"/>
        <v>0.217772328865</v>
      </c>
      <c r="BN35" s="1">
        <v>0.124656</v>
      </c>
      <c r="BO35" s="1">
        <v>8.7881000000000001E-2</v>
      </c>
      <c r="BP35" s="1">
        <v>0.102926</v>
      </c>
      <c r="BQ35" s="1">
        <v>6.5641000000000005E-2</v>
      </c>
      <c r="BR35" s="1">
        <v>-3.7664999999999997E-2</v>
      </c>
      <c r="BS35" s="1">
        <v>-1.0442E-2</v>
      </c>
      <c r="BT35" s="1">
        <v>-5.1218E-2</v>
      </c>
      <c r="BU35" s="1">
        <v>3.7010000000000001E-2</v>
      </c>
      <c r="BV35" s="1">
        <v>4.1049000000000002E-2</v>
      </c>
      <c r="DD35" s="6">
        <v>-0.124014</v>
      </c>
      <c r="DE35" s="6">
        <v>0.101966</v>
      </c>
      <c r="DF35" s="6">
        <v>-0.116239</v>
      </c>
      <c r="DG35" s="6">
        <v>6.2288999999999997E-2</v>
      </c>
      <c r="DH35" s="6">
        <v>-4.4839999999999998E-2</v>
      </c>
      <c r="DI35" s="6">
        <v>0.284526</v>
      </c>
      <c r="DJ35" s="6">
        <v>-0.175096</v>
      </c>
      <c r="DK35" s="6">
        <v>0.23762900000000001</v>
      </c>
      <c r="DL35" s="6">
        <v>0.221306</v>
      </c>
      <c r="DM35" s="6">
        <v>-2.9652000000000001E-2</v>
      </c>
      <c r="DN35" s="6">
        <v>0.2656</v>
      </c>
      <c r="DO35" s="6">
        <v>0.156557</v>
      </c>
      <c r="DP35" s="6">
        <v>-0.10136100000000001</v>
      </c>
      <c r="DQ35" s="6">
        <v>-2.0034E-2</v>
      </c>
      <c r="DR35" s="6">
        <v>0.15249299999999999</v>
      </c>
      <c r="DS35" s="6">
        <v>0.28763300000000003</v>
      </c>
      <c r="DT35" s="6">
        <v>0.21138499999999999</v>
      </c>
      <c r="DU35" s="6">
        <v>-0.10619099999999999</v>
      </c>
      <c r="DW35" s="1">
        <v>7.1978397668698471E-2</v>
      </c>
      <c r="DY35" s="6">
        <v>-1.5886000000000001E-2</v>
      </c>
      <c r="EA35" s="1">
        <f t="shared" si="19"/>
        <v>5.6092397668698474E-2</v>
      </c>
      <c r="EC35" s="6">
        <v>0.198763</v>
      </c>
    </row>
    <row r="36" spans="6:133" s="1" customFormat="1" ht="15" customHeight="1" x14ac:dyDescent="0.35">
      <c r="F36" s="1">
        <v>3.5990000000000002E-3</v>
      </c>
      <c r="G36" s="1">
        <v>0.12748899999999999</v>
      </c>
      <c r="H36" s="1">
        <v>0.29024</v>
      </c>
      <c r="J36" s="1" cm="1">
        <f t="array" ref="J36:L38">Conv2D($B$8:$D$10,F36:H38)</f>
        <v>0</v>
      </c>
      <c r="K36" s="1">
        <v>0</v>
      </c>
      <c r="L36" s="1">
        <v>0</v>
      </c>
      <c r="N36" s="1">
        <v>0.19039600000000001</v>
      </c>
      <c r="O36" s="1">
        <v>0.17827000000000001</v>
      </c>
      <c r="P36" s="1">
        <v>-0.17268</v>
      </c>
      <c r="R36" s="1" cm="1">
        <f t="array" ref="R36:T38">Conv2D($B$12:$D$14,N36:P38)</f>
        <v>-0.13334799999999999</v>
      </c>
      <c r="S36" s="1">
        <v>0.138658</v>
      </c>
      <c r="T36" s="1">
        <v>-0.18027799999999999</v>
      </c>
      <c r="V36" s="1">
        <v>0.15131900000000001</v>
      </c>
      <c r="X36" s="1">
        <f>J36+R36+$V$8</f>
        <v>-0.18468599999999999</v>
      </c>
      <c r="Y36" s="1">
        <f t="shared" ref="Y36:Y38" si="60">K36+S36+$V$8</f>
        <v>8.7320000000000009E-2</v>
      </c>
      <c r="Z36" s="1">
        <f t="shared" ref="Z36:Z38" si="61">L36+T36+$V$8</f>
        <v>-0.23161599999999999</v>
      </c>
      <c r="AB36" s="1">
        <f>MAX(0,X36)</f>
        <v>0</v>
      </c>
      <c r="AC36" s="1">
        <f t="shared" ref="AC36:AC38" si="62">MAX(0,Y36)</f>
        <v>8.7320000000000009E-2</v>
      </c>
      <c r="AD36" s="1">
        <f t="shared" ref="AD36:AD38" si="63">MAX(0,Z36)</f>
        <v>0</v>
      </c>
      <c r="AF36" s="1">
        <v>-0.15587999999999999</v>
      </c>
      <c r="AH36" s="1" cm="1">
        <f t="array" ref="AH36:AJ38">Conv($AB$36:$AD$38,AF36)</f>
        <v>0</v>
      </c>
      <c r="AI36" s="1">
        <v>-1.3611441600000001E-2</v>
      </c>
      <c r="AJ36" s="1">
        <v>0</v>
      </c>
      <c r="AL36" s="1">
        <v>-0.182229</v>
      </c>
      <c r="AN36" s="1" cm="1">
        <f t="array" ref="AN36:AP38">Conv($AB$36:$AD$38,AL36)</f>
        <v>0</v>
      </c>
      <c r="AO36" s="1">
        <v>-1.5912236280000002E-2</v>
      </c>
      <c r="AP36" s="1">
        <v>0</v>
      </c>
      <c r="AR36" s="1">
        <v>0.18390500000000001</v>
      </c>
      <c r="AT36" s="1" cm="1">
        <f t="array" ref="AT36:AV38">Conv($AB$36:$AD$38,AR36)</f>
        <v>0</v>
      </c>
      <c r="AU36" s="1">
        <v>1.6058584600000002E-2</v>
      </c>
      <c r="AV36" s="1">
        <v>0</v>
      </c>
      <c r="AX36" s="1">
        <v>-0.208734</v>
      </c>
      <c r="AZ36" s="1" cm="1">
        <f t="array" ref="AZ36:BB38">Conv($AB$36:$AD$38,AX36)</f>
        <v>0</v>
      </c>
      <c r="BA36" s="1">
        <v>-1.8226652880000003E-2</v>
      </c>
      <c r="BB36" s="1">
        <v>0</v>
      </c>
      <c r="BJ36" s="1">
        <v>0.20880715068799999</v>
      </c>
      <c r="BL36" s="1">
        <f t="shared" si="14"/>
        <v>0.20880715068799999</v>
      </c>
      <c r="BN36" s="1">
        <v>-8.6629999999999999E-2</v>
      </c>
      <c r="BO36" s="1">
        <v>0.17166300000000001</v>
      </c>
      <c r="BP36" s="1">
        <v>5.2232000000000001E-2</v>
      </c>
      <c r="BQ36" s="1">
        <v>-4.0619000000000002E-2</v>
      </c>
      <c r="BR36" s="1">
        <v>0.155277</v>
      </c>
      <c r="BS36" s="1">
        <v>-5.4281999999999997E-2</v>
      </c>
      <c r="BT36" s="1">
        <v>-8.9823E-2</v>
      </c>
      <c r="BU36" s="1">
        <v>0.111133</v>
      </c>
      <c r="BV36" s="1">
        <v>-6.5248E-2</v>
      </c>
      <c r="CH36" s="1">
        <v>-0.28798800000000002</v>
      </c>
      <c r="CJ36" s="1" cm="1">
        <f t="array" ref="CJ36:CL38">Conv($AB$36:$AD$38,CH36)</f>
        <v>0</v>
      </c>
      <c r="CK36" s="1">
        <v>-2.5147112160000006E-2</v>
      </c>
      <c r="CL36" s="1">
        <v>0</v>
      </c>
      <c r="CN36" s="1">
        <v>9.5503000000000005E-2</v>
      </c>
      <c r="CP36" s="1" cm="1">
        <f t="array" ref="CP36:CR38">Conv($AB$36:$AD$38,CN36)</f>
        <v>0</v>
      </c>
      <c r="CQ36" s="1">
        <v>8.3393219600000016E-3</v>
      </c>
      <c r="CR36" s="1">
        <v>0</v>
      </c>
      <c r="DD36" s="6">
        <v>0.23663899999999999</v>
      </c>
      <c r="DE36" s="6">
        <v>0.11249000000000001</v>
      </c>
      <c r="DF36" s="6">
        <v>-0.125584</v>
      </c>
      <c r="DG36" s="6">
        <v>-2.9950000000000001E-2</v>
      </c>
      <c r="DH36" s="6">
        <v>-0.105933</v>
      </c>
      <c r="DI36" s="6">
        <v>-2.2894999999999999E-2</v>
      </c>
      <c r="DJ36" s="6">
        <v>-2.8479999999999998E-3</v>
      </c>
      <c r="DK36" s="6">
        <v>-0.19575799999999999</v>
      </c>
      <c r="DL36" s="6">
        <v>9.5304E-2</v>
      </c>
      <c r="DM36" s="6">
        <v>5.0930000000000003E-2</v>
      </c>
      <c r="DN36" s="6">
        <v>-8.2700000000000004E-4</v>
      </c>
      <c r="DO36" s="6">
        <v>-0.24004</v>
      </c>
      <c r="DP36" s="6">
        <v>-6.3115000000000004E-2</v>
      </c>
      <c r="DQ36" s="6">
        <v>-0.23495099999999999</v>
      </c>
      <c r="DR36" s="6">
        <v>-0.171737</v>
      </c>
      <c r="DS36" s="6">
        <v>0.15787499999999999</v>
      </c>
      <c r="DT36" s="6">
        <v>5.5542000000000001E-2</v>
      </c>
      <c r="DU36" s="6">
        <v>-0.12654299999999999</v>
      </c>
      <c r="DW36" s="1">
        <v>-2.0945436872727733E-3</v>
      </c>
      <c r="DY36" s="6">
        <v>0.13708000000000001</v>
      </c>
      <c r="EA36" s="1">
        <f t="shared" si="19"/>
        <v>0.13498545631272724</v>
      </c>
      <c r="EC36" s="6">
        <v>-4.7277E-2</v>
      </c>
    </row>
    <row r="37" spans="6:133" s="1" customFormat="1" ht="15" customHeight="1" x14ac:dyDescent="0.35">
      <c r="F37" s="1">
        <v>-2.8E-3</v>
      </c>
      <c r="G37" s="1">
        <v>0.16852600000000001</v>
      </c>
      <c r="H37" s="1">
        <v>8.4301000000000001E-2</v>
      </c>
      <c r="J37" s="1">
        <v>0</v>
      </c>
      <c r="K37" s="1">
        <v>0</v>
      </c>
      <c r="L37" s="1">
        <v>0</v>
      </c>
      <c r="N37" s="1">
        <v>0.12584500000000001</v>
      </c>
      <c r="O37" s="1">
        <v>-0.159496</v>
      </c>
      <c r="P37" s="1">
        <v>-0.12728600000000001</v>
      </c>
      <c r="R37" s="1">
        <v>-0.12728600000000001</v>
      </c>
      <c r="S37" s="1">
        <v>-0.159496</v>
      </c>
      <c r="T37" s="1">
        <v>0.12584500000000001</v>
      </c>
      <c r="X37" s="1">
        <f t="shared" ref="X37:X38" si="64">J37+R37+$V$8</f>
        <v>-0.178624</v>
      </c>
      <c r="Y37" s="1">
        <f t="shared" si="60"/>
        <v>-0.21083399999999999</v>
      </c>
      <c r="Z37" s="1">
        <f t="shared" si="61"/>
        <v>7.4507000000000018E-2</v>
      </c>
      <c r="AB37" s="1">
        <f t="shared" ref="AB37:AB38" si="65">MAX(0,X37)</f>
        <v>0</v>
      </c>
      <c r="AC37" s="1">
        <f t="shared" si="62"/>
        <v>0</v>
      </c>
      <c r="AD37" s="1">
        <f t="shared" si="63"/>
        <v>7.4507000000000018E-2</v>
      </c>
      <c r="AH37" s="1">
        <v>0</v>
      </c>
      <c r="AI37" s="1">
        <v>0</v>
      </c>
      <c r="AJ37" s="1">
        <v>-1.1614151160000002E-2</v>
      </c>
      <c r="AN37" s="1">
        <v>0</v>
      </c>
      <c r="AO37" s="1">
        <v>0</v>
      </c>
      <c r="AP37" s="1">
        <v>-1.3577336103000003E-2</v>
      </c>
      <c r="AT37" s="1">
        <v>0</v>
      </c>
      <c r="AU37" s="1">
        <v>0</v>
      </c>
      <c r="AV37" s="1">
        <v>1.3702209835000005E-2</v>
      </c>
      <c r="AZ37" s="1">
        <v>0</v>
      </c>
      <c r="BA37" s="1">
        <v>0</v>
      </c>
      <c r="BB37" s="1">
        <v>-1.5552144138000004E-2</v>
      </c>
      <c r="BJ37" s="1">
        <v>0.21150909113800001</v>
      </c>
      <c r="BL37" s="1">
        <f t="shared" si="14"/>
        <v>0.21150909113800001</v>
      </c>
      <c r="BN37" s="1">
        <v>-8.8339000000000001E-2</v>
      </c>
      <c r="BO37" s="1">
        <v>-2.6623000000000001E-2</v>
      </c>
      <c r="BP37" s="1">
        <v>-3.1273000000000002E-2</v>
      </c>
      <c r="BQ37" s="1">
        <v>-3.3408E-2</v>
      </c>
      <c r="BR37" s="1">
        <v>4.1528000000000002E-2</v>
      </c>
      <c r="BS37" s="1">
        <v>-0.13775899999999999</v>
      </c>
      <c r="BT37" s="1">
        <v>2.5845E-2</v>
      </c>
      <c r="BU37" s="1">
        <v>-0.15509600000000001</v>
      </c>
      <c r="BV37" s="1">
        <v>-5.1163E-2</v>
      </c>
      <c r="CJ37" s="1">
        <v>0</v>
      </c>
      <c r="CK37" s="1">
        <v>0</v>
      </c>
      <c r="CL37" s="1">
        <v>-2.1457121916000008E-2</v>
      </c>
      <c r="CP37" s="1">
        <v>0</v>
      </c>
      <c r="CQ37" s="1">
        <v>0</v>
      </c>
      <c r="CR37" s="1">
        <v>7.1156420210000022E-3</v>
      </c>
      <c r="DD37" s="6">
        <v>0.216637</v>
      </c>
      <c r="DE37" s="6">
        <v>5.6354000000000001E-2</v>
      </c>
      <c r="DF37" s="6">
        <v>-5.1021999999999998E-2</v>
      </c>
      <c r="DG37" s="6">
        <v>-8.0641000000000004E-2</v>
      </c>
      <c r="DH37" s="6">
        <v>9.3427999999999997E-2</v>
      </c>
      <c r="DI37" s="6">
        <v>-0.17305899999999999</v>
      </c>
      <c r="DJ37" s="6">
        <v>-0.15706500000000001</v>
      </c>
      <c r="DK37" s="6">
        <v>9.1423000000000004E-2</v>
      </c>
      <c r="DL37" s="6">
        <v>2.0098000000000001E-2</v>
      </c>
      <c r="DM37" s="6">
        <v>-1.4585000000000001E-2</v>
      </c>
      <c r="DN37" s="6">
        <v>6.3079999999999997E-2</v>
      </c>
      <c r="DO37" s="6">
        <v>6.7695000000000005E-2</v>
      </c>
      <c r="DP37" s="6">
        <v>7.5709999999999996E-3</v>
      </c>
      <c r="DQ37" s="6">
        <v>-1.673E-3</v>
      </c>
      <c r="DR37" s="6">
        <v>-0.107326</v>
      </c>
      <c r="DS37" s="6">
        <v>-3.9752999999999997E-2</v>
      </c>
      <c r="DT37" s="6">
        <v>8.4942000000000004E-2</v>
      </c>
      <c r="DU37" s="6">
        <v>-4.9942E-2</v>
      </c>
      <c r="DW37" s="1">
        <v>4.8461514481446574E-2</v>
      </c>
      <c r="DY37" s="6">
        <v>-0.215749</v>
      </c>
      <c r="EA37" s="1">
        <f t="shared" si="19"/>
        <v>0</v>
      </c>
      <c r="EC37" s="6">
        <v>-1.1246000000000001E-2</v>
      </c>
    </row>
    <row r="38" spans="6:133" s="1" customFormat="1" ht="15" customHeight="1" x14ac:dyDescent="0.35">
      <c r="F38" s="1">
        <v>0.16481899999999999</v>
      </c>
      <c r="G38" s="1">
        <v>2.7675999999999999E-2</v>
      </c>
      <c r="H38" s="1">
        <v>-4.5240000000000002E-3</v>
      </c>
      <c r="J38" s="1">
        <v>0</v>
      </c>
      <c r="K38" s="1">
        <v>0</v>
      </c>
      <c r="L38" s="1">
        <v>0</v>
      </c>
      <c r="N38" s="1">
        <v>-0.18027799999999999</v>
      </c>
      <c r="O38" s="1">
        <v>0.138658</v>
      </c>
      <c r="P38" s="1">
        <v>-0.13334799999999999</v>
      </c>
      <c r="R38" s="1">
        <v>-0.17268</v>
      </c>
      <c r="S38" s="1">
        <v>0.17827000000000001</v>
      </c>
      <c r="T38" s="1">
        <v>0.19039600000000001</v>
      </c>
      <c r="X38" s="1">
        <f t="shared" si="64"/>
        <v>-0.22401799999999999</v>
      </c>
      <c r="Y38" s="1">
        <f t="shared" si="60"/>
        <v>0.12693200000000002</v>
      </c>
      <c r="Z38" s="1">
        <f t="shared" si="61"/>
        <v>0.13905800000000001</v>
      </c>
      <c r="AB38" s="1">
        <f t="shared" si="65"/>
        <v>0</v>
      </c>
      <c r="AC38" s="1">
        <f t="shared" si="62"/>
        <v>0.12693200000000002</v>
      </c>
      <c r="AD38" s="1">
        <f t="shared" si="63"/>
        <v>0.13905800000000001</v>
      </c>
      <c r="AH38" s="1">
        <v>0</v>
      </c>
      <c r="AI38" s="1">
        <v>-1.978616016E-2</v>
      </c>
      <c r="AJ38" s="1">
        <v>-2.1676361040000001E-2</v>
      </c>
      <c r="AN38" s="1">
        <v>0</v>
      </c>
      <c r="AO38" s="1">
        <v>-2.3130691428000002E-2</v>
      </c>
      <c r="AP38" s="1">
        <v>-2.5340400282000002E-2</v>
      </c>
      <c r="AT38" s="1">
        <v>0</v>
      </c>
      <c r="AU38" s="1">
        <v>2.3343429460000006E-2</v>
      </c>
      <c r="AV38" s="1">
        <v>2.5573461490000005E-2</v>
      </c>
      <c r="AZ38" s="1">
        <v>0</v>
      </c>
      <c r="BA38" s="1">
        <v>-2.6495024088000006E-2</v>
      </c>
      <c r="BB38" s="1">
        <v>-2.9026132572000003E-2</v>
      </c>
      <c r="BJ38" s="1">
        <v>0.23781709972400003</v>
      </c>
      <c r="BL38" s="1">
        <f t="shared" si="14"/>
        <v>0.23781709972400003</v>
      </c>
      <c r="BN38" s="1">
        <v>-3.5210999999999999E-2</v>
      </c>
      <c r="BO38" s="1">
        <v>-8.9820000000000004E-3</v>
      </c>
      <c r="BP38" s="1">
        <v>9.0472999999999998E-2</v>
      </c>
      <c r="BQ38" s="1">
        <v>9.6504999999999994E-2</v>
      </c>
      <c r="BR38" s="1">
        <v>8.7899000000000005E-2</v>
      </c>
      <c r="BS38" s="1">
        <v>9.1690000000000001E-3</v>
      </c>
      <c r="BT38" s="1">
        <v>-2.8045E-2</v>
      </c>
      <c r="BU38" s="1">
        <v>-0.122006</v>
      </c>
      <c r="BV38" s="1">
        <v>-5.1390000000000003E-3</v>
      </c>
      <c r="CJ38" s="1">
        <v>0</v>
      </c>
      <c r="CK38" s="1">
        <v>-3.6554892816000009E-2</v>
      </c>
      <c r="CL38" s="1">
        <v>-4.0047035304000007E-2</v>
      </c>
      <c r="CP38" s="1">
        <v>0</v>
      </c>
      <c r="CQ38" s="1">
        <v>1.2122386796000003E-2</v>
      </c>
      <c r="CR38" s="1">
        <v>1.3280456174000001E-2</v>
      </c>
      <c r="DD38" s="6">
        <v>-2.8791000000000001E-2</v>
      </c>
      <c r="DE38" s="6">
        <v>-0.27477099999999999</v>
      </c>
      <c r="DF38" s="6">
        <v>0.14133000000000001</v>
      </c>
      <c r="DG38" s="6">
        <v>5.5869000000000002E-2</v>
      </c>
      <c r="DH38" s="6">
        <v>7.9353999999999994E-2</v>
      </c>
      <c r="DI38" s="6">
        <v>-5.9450999999999997E-2</v>
      </c>
      <c r="DJ38" s="6">
        <v>0.11512500000000001</v>
      </c>
      <c r="DK38" s="6">
        <v>0.15648100000000001</v>
      </c>
      <c r="DL38" s="6">
        <v>-5.6649999999999999E-3</v>
      </c>
      <c r="DM38" s="6">
        <v>-0.112939</v>
      </c>
      <c r="DN38" s="6">
        <v>-0.200819</v>
      </c>
      <c r="DO38" s="6">
        <v>-2.5989999999999999E-2</v>
      </c>
      <c r="DP38" s="6">
        <v>8.8255E-2</v>
      </c>
      <c r="DQ38" s="6">
        <v>-6.7836999999999995E-2</v>
      </c>
      <c r="DR38" s="6">
        <v>-0.234486</v>
      </c>
      <c r="DS38" s="6">
        <v>7.5564999999999993E-2</v>
      </c>
      <c r="DT38" s="6">
        <v>-1.8766000000000001E-2</v>
      </c>
      <c r="DU38" s="6">
        <v>-0.14019699999999999</v>
      </c>
      <c r="DW38" s="1">
        <v>5.2173301463036198E-2</v>
      </c>
      <c r="DY38" s="6">
        <v>0.192828</v>
      </c>
      <c r="EA38" s="1">
        <f t="shared" si="19"/>
        <v>0.2450013014630362</v>
      </c>
      <c r="EC38" s="6">
        <v>-8.1009999999999999E-2</v>
      </c>
    </row>
    <row r="39" spans="6:133" s="1" customFormat="1" ht="15" customHeight="1" x14ac:dyDescent="0.35">
      <c r="BJ39" s="1">
        <v>0.16099188916999999</v>
      </c>
      <c r="BL39" s="1">
        <f t="shared" si="14"/>
        <v>0.16099188916999999</v>
      </c>
      <c r="BN39" s="1">
        <v>0.15171299999999999</v>
      </c>
      <c r="BO39" s="1">
        <v>-3.4528000000000003E-2</v>
      </c>
      <c r="BP39" s="1">
        <v>0.19029299999999999</v>
      </c>
      <c r="BQ39" s="1">
        <v>-7.4726000000000001E-2</v>
      </c>
      <c r="BR39" s="1">
        <v>0.24015900000000001</v>
      </c>
      <c r="BS39" s="1">
        <v>-2.647E-2</v>
      </c>
      <c r="BT39" s="1">
        <v>0.119702</v>
      </c>
      <c r="BU39" s="1">
        <v>-2.2290000000000001E-3</v>
      </c>
      <c r="BV39" s="1">
        <v>4.7815000000000003E-2</v>
      </c>
      <c r="DD39" s="6">
        <v>-7.2549000000000002E-2</v>
      </c>
      <c r="DE39" s="6">
        <v>3.5229999999999997E-2</v>
      </c>
      <c r="DF39" s="6">
        <v>-0.113332</v>
      </c>
      <c r="DG39" s="6">
        <v>8.4758E-2</v>
      </c>
      <c r="DH39" s="6">
        <v>4.6737000000000001E-2</v>
      </c>
      <c r="DI39" s="6">
        <v>-3.4039E-2</v>
      </c>
      <c r="DJ39" s="6">
        <v>6.4279000000000003E-2</v>
      </c>
      <c r="DK39" s="6">
        <v>-3.4861999999999997E-2</v>
      </c>
      <c r="DL39" s="6">
        <v>2.6207000000000001E-2</v>
      </c>
      <c r="DM39" s="6">
        <v>0.11039</v>
      </c>
      <c r="DN39" s="6">
        <v>-3.6086E-2</v>
      </c>
      <c r="DO39" s="6">
        <v>-6.5684000000000006E-2</v>
      </c>
      <c r="DP39" s="6">
        <v>5.3917E-2</v>
      </c>
      <c r="DQ39" s="6">
        <v>-9.1257000000000005E-2</v>
      </c>
      <c r="DR39" s="6">
        <v>-0.17177200000000001</v>
      </c>
      <c r="DS39" s="6">
        <v>6.5762000000000001E-2</v>
      </c>
      <c r="DT39" s="6">
        <v>0.132522</v>
      </c>
      <c r="DU39" s="6">
        <v>-0.198045</v>
      </c>
      <c r="DW39" s="1">
        <v>-1.4835131760827108E-2</v>
      </c>
      <c r="DY39" s="6">
        <v>0.24071500000000001</v>
      </c>
      <c r="EA39" s="1">
        <f t="shared" si="19"/>
        <v>0.22587986823917292</v>
      </c>
      <c r="EC39" s="6">
        <v>0.102827</v>
      </c>
    </row>
    <row r="40" spans="6:133" s="1" customFormat="1" ht="15" customHeight="1" x14ac:dyDescent="0.35">
      <c r="F40" s="1">
        <v>0.19839100000000001</v>
      </c>
      <c r="G40" s="1">
        <v>0.19425200000000001</v>
      </c>
      <c r="H40" s="1">
        <v>-0.28630100000000003</v>
      </c>
      <c r="J40" s="1" cm="1">
        <f t="array" ref="J40:L42">Conv2D($B$8:$D$10,F40:H42)</f>
        <v>0</v>
      </c>
      <c r="K40" s="1">
        <v>0</v>
      </c>
      <c r="L40" s="1">
        <v>0</v>
      </c>
      <c r="N40" s="1">
        <v>0.20536299999999999</v>
      </c>
      <c r="O40" s="1">
        <v>9.9984000000000003E-2</v>
      </c>
      <c r="P40" s="1">
        <v>0.20564399999999999</v>
      </c>
      <c r="R40" s="1" cm="1">
        <f t="array" ref="R40:T42">Conv2D($B$12:$D$14,N40:P42)</f>
        <v>0.2228</v>
      </c>
      <c r="S40" s="1">
        <v>-0.17580000000000001</v>
      </c>
      <c r="T40" s="1">
        <v>0.17100899999999999</v>
      </c>
      <c r="V40" s="1">
        <v>7.5301999999999994E-2</v>
      </c>
      <c r="X40" s="1">
        <f>J40+R40+$V$8</f>
        <v>0.171462</v>
      </c>
      <c r="Y40" s="1">
        <f t="shared" ref="Y40:Y42" si="66">K40+S40+$V$8</f>
        <v>-0.22713800000000001</v>
      </c>
      <c r="Z40" s="1">
        <f t="shared" ref="Z40:Z42" si="67">L40+T40+$V$8</f>
        <v>0.119671</v>
      </c>
      <c r="AB40" s="1">
        <f>MAX(0,X40)</f>
        <v>0.171462</v>
      </c>
      <c r="AC40" s="1">
        <f t="shared" ref="AC40:AC42" si="68">MAX(0,Y40)</f>
        <v>0</v>
      </c>
      <c r="AD40" s="1">
        <f t="shared" ref="AD40:AD42" si="69">MAX(0,Z40)</f>
        <v>0.119671</v>
      </c>
      <c r="AF40" s="1">
        <v>-0.10238700000000001</v>
      </c>
      <c r="AH40" s="1" cm="1">
        <f t="array" ref="AH40:AJ42">Conv($AB$40:$AD$42,AF40)</f>
        <v>-1.7555479794E-2</v>
      </c>
      <c r="AI40" s="1">
        <v>0</v>
      </c>
      <c r="AJ40" s="1">
        <v>-1.2252754677000001E-2</v>
      </c>
      <c r="AL40" s="1">
        <v>7.9045000000000004E-2</v>
      </c>
      <c r="AN40" s="1" cm="1">
        <f t="array" ref="AN40:AP42">Conv($AB$40:$AD$42,AL40)</f>
        <v>1.3553213790000001E-2</v>
      </c>
      <c r="AO40" s="1">
        <v>0</v>
      </c>
      <c r="AP40" s="1">
        <v>9.459394195E-3</v>
      </c>
      <c r="AR40" s="1">
        <v>-1.0766E-2</v>
      </c>
      <c r="AT40" s="1" cm="1">
        <f t="array" ref="AT40:AV42">Conv($AB$40:$AD$42,AR40)</f>
        <v>-1.845959892E-3</v>
      </c>
      <c r="AU40" s="1">
        <v>0</v>
      </c>
      <c r="AV40" s="1">
        <v>-1.288377986E-3</v>
      </c>
      <c r="AX40" s="1">
        <v>-7.5822000000000001E-2</v>
      </c>
      <c r="AZ40" s="1" cm="1">
        <f t="array" ref="AZ40:BB42">Conv($AB$40:$AD$42,AX40)</f>
        <v>-1.3000591764000001E-2</v>
      </c>
      <c r="BA40" s="1">
        <v>0</v>
      </c>
      <c r="BB40" s="1">
        <v>-9.0736945620000006E-3</v>
      </c>
      <c r="BJ40" s="1">
        <v>0.15829537416100001</v>
      </c>
      <c r="BL40" s="1">
        <f t="shared" si="14"/>
        <v>0.15829537416100001</v>
      </c>
      <c r="BN40" s="1">
        <v>6.6156999999999994E-2</v>
      </c>
      <c r="BO40" s="1">
        <v>0.15123</v>
      </c>
      <c r="BP40" s="1">
        <v>-0.164378</v>
      </c>
      <c r="BQ40" s="1">
        <v>9.1187000000000004E-2</v>
      </c>
      <c r="BR40" s="1">
        <v>0.118213</v>
      </c>
      <c r="BS40" s="1">
        <v>9.6231999999999998E-2</v>
      </c>
      <c r="BT40" s="1">
        <v>-9.7289E-2</v>
      </c>
      <c r="BU40" s="1">
        <v>0.122767</v>
      </c>
      <c r="BV40" s="1">
        <v>-0.103732</v>
      </c>
      <c r="CH40" s="1">
        <v>0.31925500000000001</v>
      </c>
      <c r="CJ40" s="1" cm="1">
        <f t="array" ref="CJ40:CL42">Conv($AB$40:$AD$42,CH40)</f>
        <v>5.4740100810000004E-2</v>
      </c>
      <c r="CK40" s="1">
        <v>0</v>
      </c>
      <c r="CL40" s="1">
        <v>3.8205565104999999E-2</v>
      </c>
      <c r="CN40" s="1">
        <v>3.7694999999999999E-2</v>
      </c>
      <c r="CP40" s="1" cm="1">
        <f t="array" ref="CP40:CR42">Conv($AB$40:$AD$42,CN40)</f>
        <v>6.4632600899999998E-3</v>
      </c>
      <c r="CQ40" s="1">
        <v>0</v>
      </c>
      <c r="CR40" s="1">
        <v>4.5109983449999995E-3</v>
      </c>
      <c r="DD40" s="6">
        <v>-0.17843700000000001</v>
      </c>
      <c r="DE40" s="6">
        <v>-0.15121299999999999</v>
      </c>
      <c r="DF40" s="6">
        <v>-9.5033000000000006E-2</v>
      </c>
      <c r="DG40" s="6">
        <v>0.107806</v>
      </c>
      <c r="DH40" s="6">
        <v>-0.12016300000000001</v>
      </c>
      <c r="DI40" s="6">
        <v>0.12216100000000001</v>
      </c>
      <c r="DJ40" s="6">
        <v>4.1320000000000003E-3</v>
      </c>
      <c r="DK40" s="6">
        <v>-9.5500000000000001E-4</v>
      </c>
      <c r="DL40" s="6">
        <v>0.18485499999999999</v>
      </c>
      <c r="DM40" s="6">
        <v>-7.4949000000000002E-2</v>
      </c>
      <c r="DN40" s="6">
        <v>-0.15338199999999999</v>
      </c>
      <c r="DO40" s="6">
        <v>-0.21126600000000001</v>
      </c>
      <c r="DP40" s="6">
        <v>1.7552999999999999E-2</v>
      </c>
      <c r="DQ40" s="6">
        <v>-4.2466999999999998E-2</v>
      </c>
      <c r="DR40" s="6">
        <v>-0.131886</v>
      </c>
      <c r="DS40" s="6">
        <v>0.108989</v>
      </c>
      <c r="DT40" s="6">
        <v>0.131248</v>
      </c>
      <c r="DU40" s="6">
        <v>-0.177788</v>
      </c>
      <c r="DW40" s="1">
        <v>-0.10483875526980309</v>
      </c>
      <c r="DY40" s="6">
        <v>-0.22508900000000001</v>
      </c>
      <c r="EA40" s="1">
        <f t="shared" si="19"/>
        <v>0</v>
      </c>
      <c r="EC40" s="6">
        <v>8.4679000000000004E-2</v>
      </c>
    </row>
    <row r="41" spans="6:133" s="1" customFormat="1" ht="15" customHeight="1" x14ac:dyDescent="0.35">
      <c r="F41" s="1">
        <v>1.4657E-2</v>
      </c>
      <c r="G41" s="1">
        <v>1.9459000000000001E-2</v>
      </c>
      <c r="H41" s="1">
        <v>-2.9621999999999999E-2</v>
      </c>
      <c r="J41" s="1">
        <v>0</v>
      </c>
      <c r="K41" s="1">
        <v>0</v>
      </c>
      <c r="L41" s="1">
        <v>0</v>
      </c>
      <c r="N41" s="1">
        <v>-3.8612E-2</v>
      </c>
      <c r="O41" s="1">
        <v>-4.7624E-2</v>
      </c>
      <c r="P41" s="1">
        <v>6.9949999999999998E-2</v>
      </c>
      <c r="R41" s="1">
        <v>6.9949999999999998E-2</v>
      </c>
      <c r="S41" s="1">
        <v>-4.7624E-2</v>
      </c>
      <c r="T41" s="1">
        <v>-3.8612E-2</v>
      </c>
      <c r="X41" s="1">
        <f t="shared" ref="X41:X42" si="70">J41+R41+$V$8</f>
        <v>1.8611999999999997E-2</v>
      </c>
      <c r="Y41" s="1">
        <f t="shared" si="66"/>
        <v>-9.8961999999999994E-2</v>
      </c>
      <c r="Z41" s="1">
        <f t="shared" si="67"/>
        <v>-8.9950000000000002E-2</v>
      </c>
      <c r="AB41" s="1">
        <f t="shared" ref="AB41:AB42" si="71">MAX(0,X41)</f>
        <v>1.8611999999999997E-2</v>
      </c>
      <c r="AC41" s="1">
        <f t="shared" si="68"/>
        <v>0</v>
      </c>
      <c r="AD41" s="1">
        <f t="shared" si="69"/>
        <v>0</v>
      </c>
      <c r="AH41" s="1">
        <v>-1.9056268439999998E-3</v>
      </c>
      <c r="AI41" s="1">
        <v>0</v>
      </c>
      <c r="AJ41" s="1">
        <v>0</v>
      </c>
      <c r="AN41" s="1">
        <v>1.4711855399999999E-3</v>
      </c>
      <c r="AO41" s="1">
        <v>0</v>
      </c>
      <c r="AP41" s="1">
        <v>0</v>
      </c>
      <c r="AT41" s="1">
        <v>-2.0037679199999995E-4</v>
      </c>
      <c r="AU41" s="1">
        <v>0</v>
      </c>
      <c r="AV41" s="1">
        <v>0</v>
      </c>
      <c r="AZ41" s="1">
        <v>-1.4111990639999997E-3</v>
      </c>
      <c r="BA41" s="1">
        <v>0</v>
      </c>
      <c r="BB41" s="1">
        <v>0</v>
      </c>
      <c r="BJ41" s="1">
        <v>7.8271178066000008E-2</v>
      </c>
      <c r="BL41" s="1">
        <f t="shared" si="14"/>
        <v>7.8271178066000008E-2</v>
      </c>
      <c r="BN41" s="1">
        <v>-5.1436000000000003E-2</v>
      </c>
      <c r="BO41" s="1">
        <v>-0.151476</v>
      </c>
      <c r="BP41" s="1">
        <v>-0.14139499999999999</v>
      </c>
      <c r="BQ41" s="1">
        <v>-9.4604999999999995E-2</v>
      </c>
      <c r="BR41" s="1">
        <v>7.0610000000000006E-2</v>
      </c>
      <c r="BS41" s="1">
        <v>-2.9947000000000001E-2</v>
      </c>
      <c r="BT41" s="1">
        <v>-0.134821</v>
      </c>
      <c r="BU41" s="1">
        <v>-6.7072999999999994E-2</v>
      </c>
      <c r="BV41" s="1">
        <v>7.0732000000000003E-2</v>
      </c>
      <c r="CJ41" s="1">
        <v>5.9419740599999989E-3</v>
      </c>
      <c r="CK41" s="1">
        <v>0</v>
      </c>
      <c r="CL41" s="1">
        <v>0</v>
      </c>
      <c r="CP41" s="1">
        <v>7.0157933999999986E-4</v>
      </c>
      <c r="CQ41" s="1">
        <v>0</v>
      </c>
      <c r="CR41" s="1">
        <v>0</v>
      </c>
      <c r="DD41" s="6">
        <v>8.3829000000000001E-2</v>
      </c>
      <c r="DE41" s="6">
        <v>4.0132000000000001E-2</v>
      </c>
      <c r="DF41" s="6">
        <v>-0.17144899999999999</v>
      </c>
      <c r="DG41" s="6">
        <v>0.21587100000000001</v>
      </c>
      <c r="DH41" s="6">
        <v>-0.22367899999999999</v>
      </c>
      <c r="DI41" s="6">
        <v>3.0596000000000002E-2</v>
      </c>
      <c r="DJ41" s="6">
        <v>-7.8777E-2</v>
      </c>
      <c r="DK41" s="6">
        <v>8.9234999999999995E-2</v>
      </c>
      <c r="DL41" s="6">
        <v>5.8816E-2</v>
      </c>
      <c r="DM41" s="6">
        <v>2.7009999999999998E-3</v>
      </c>
      <c r="DN41" s="6">
        <v>-6.3009999999999997E-2</v>
      </c>
      <c r="DO41" s="6">
        <v>0.119022</v>
      </c>
      <c r="DP41" s="6">
        <v>0.217028</v>
      </c>
      <c r="DQ41" s="6">
        <v>-4.0550000000000003E-2</v>
      </c>
      <c r="DR41" s="6">
        <v>5.5819000000000001E-2</v>
      </c>
      <c r="DS41" s="6">
        <v>-8.6472999999999994E-2</v>
      </c>
      <c r="DT41" s="6">
        <v>-4.6528E-2</v>
      </c>
      <c r="DU41" s="6">
        <v>-9.9892999999999996E-2</v>
      </c>
      <c r="DW41" s="1">
        <v>-1.0745661432702752E-2</v>
      </c>
      <c r="DY41" s="6">
        <v>6.3922999999999994E-2</v>
      </c>
      <c r="EA41" s="1">
        <f t="shared" si="19"/>
        <v>5.3177338567297242E-2</v>
      </c>
      <c r="EC41" s="6">
        <v>0.13833899999999999</v>
      </c>
    </row>
    <row r="42" spans="6:133" s="1" customFormat="1" ht="15" customHeight="1" x14ac:dyDescent="0.35">
      <c r="F42" s="1">
        <v>-5.1743999999999998E-2</v>
      </c>
      <c r="G42" s="1">
        <v>0.24604699999999999</v>
      </c>
      <c r="H42" s="1">
        <v>0.158855</v>
      </c>
      <c r="J42" s="1">
        <v>0</v>
      </c>
      <c r="K42" s="1">
        <v>0</v>
      </c>
      <c r="L42" s="1">
        <v>0</v>
      </c>
      <c r="N42" s="1">
        <v>0.17100899999999999</v>
      </c>
      <c r="O42" s="1">
        <v>-0.17580000000000001</v>
      </c>
      <c r="P42" s="1">
        <v>0.2228</v>
      </c>
      <c r="R42" s="1">
        <v>0.20564399999999999</v>
      </c>
      <c r="S42" s="1">
        <v>9.9984000000000003E-2</v>
      </c>
      <c r="T42" s="1">
        <v>0.20536299999999999</v>
      </c>
      <c r="X42" s="1">
        <f t="shared" si="70"/>
        <v>0.154306</v>
      </c>
      <c r="Y42" s="1">
        <f t="shared" si="66"/>
        <v>4.8646000000000002E-2</v>
      </c>
      <c r="Z42" s="1">
        <f t="shared" si="67"/>
        <v>0.154025</v>
      </c>
      <c r="AB42" s="1">
        <f t="shared" si="71"/>
        <v>0.154306</v>
      </c>
      <c r="AC42" s="1">
        <f t="shared" si="68"/>
        <v>4.8646000000000002E-2</v>
      </c>
      <c r="AD42" s="1">
        <f t="shared" si="69"/>
        <v>0.154025</v>
      </c>
      <c r="AH42" s="1">
        <v>-1.5798928422000001E-2</v>
      </c>
      <c r="AI42" s="1">
        <v>-4.9807180020000003E-3</v>
      </c>
      <c r="AJ42" s="1">
        <v>-1.5770157675E-2</v>
      </c>
      <c r="AN42" s="1">
        <v>1.219711777E-2</v>
      </c>
      <c r="AO42" s="1">
        <v>3.8452230700000002E-3</v>
      </c>
      <c r="AP42" s="1">
        <v>1.2174906125000001E-2</v>
      </c>
      <c r="AT42" s="1">
        <v>-1.6612583959999998E-3</v>
      </c>
      <c r="AU42" s="1">
        <v>-5.2372283600000003E-4</v>
      </c>
      <c r="AV42" s="1">
        <v>-1.6582331499999999E-3</v>
      </c>
      <c r="AZ42" s="1">
        <v>-1.1699789532E-2</v>
      </c>
      <c r="BA42" s="1">
        <v>-3.6884370120000001E-3</v>
      </c>
      <c r="BB42" s="1">
        <v>-1.167848355E-2</v>
      </c>
      <c r="BJ42" s="1">
        <v>0.12209533673299999</v>
      </c>
      <c r="BL42" s="1">
        <f t="shared" si="14"/>
        <v>0.12209533673299999</v>
      </c>
      <c r="BN42" s="1">
        <v>-0.239008</v>
      </c>
      <c r="BO42" s="1">
        <v>-4.0482999999999998E-2</v>
      </c>
      <c r="BP42" s="1">
        <v>-0.120652</v>
      </c>
      <c r="BQ42" s="1">
        <v>3.1861E-2</v>
      </c>
      <c r="BR42" s="1">
        <v>-4.8818E-2</v>
      </c>
      <c r="BS42" s="1">
        <v>6.8224000000000007E-2</v>
      </c>
      <c r="BT42" s="1">
        <v>0.15762300000000001</v>
      </c>
      <c r="BU42" s="1">
        <v>0.101508</v>
      </c>
      <c r="BV42" s="1">
        <v>5.4330000000000003E-2</v>
      </c>
      <c r="CJ42" s="1">
        <v>4.9262962030000003E-2</v>
      </c>
      <c r="CK42" s="1">
        <v>1.5530478730000002E-2</v>
      </c>
      <c r="CL42" s="1">
        <v>4.9173251374999997E-2</v>
      </c>
      <c r="CP42" s="1">
        <v>5.8165646699999997E-3</v>
      </c>
      <c r="CQ42" s="1">
        <v>1.8337109700000001E-3</v>
      </c>
      <c r="CR42" s="1">
        <v>5.8059723749999993E-3</v>
      </c>
      <c r="DD42" s="6">
        <v>-0.224548</v>
      </c>
      <c r="DE42" s="6">
        <v>-8.5181000000000007E-2</v>
      </c>
      <c r="DF42" s="6">
        <v>8.7661000000000003E-2</v>
      </c>
      <c r="DG42" s="6">
        <v>0.15629899999999999</v>
      </c>
      <c r="DH42" s="6">
        <v>6.3591999999999996E-2</v>
      </c>
      <c r="DI42" s="6">
        <v>9.8229999999999998E-2</v>
      </c>
      <c r="DJ42" s="6">
        <v>-0.12787799999999999</v>
      </c>
      <c r="DK42" s="6">
        <v>0.171315</v>
      </c>
      <c r="DL42" s="6">
        <v>-6.6210000000000001E-3</v>
      </c>
      <c r="DM42" s="6">
        <v>-0.109469</v>
      </c>
      <c r="DN42" s="6">
        <v>0.27421800000000002</v>
      </c>
      <c r="DO42" s="6">
        <v>1.6781999999999998E-2</v>
      </c>
      <c r="DP42" s="6">
        <v>0.241399</v>
      </c>
      <c r="DQ42" s="6">
        <v>1.7245E-2</v>
      </c>
      <c r="DR42" s="6">
        <v>3.3045999999999999E-2</v>
      </c>
      <c r="DS42" s="6">
        <v>0.18268000000000001</v>
      </c>
      <c r="DT42" s="6">
        <v>-5.7929000000000001E-2</v>
      </c>
      <c r="DU42" s="6">
        <v>-8.9022000000000004E-2</v>
      </c>
      <c r="DW42" s="1">
        <v>-5.0715794905032219E-3</v>
      </c>
      <c r="DY42" s="6">
        <v>3.4757000000000003E-2</v>
      </c>
      <c r="EA42" s="1">
        <f t="shared" si="19"/>
        <v>2.9685420509496782E-2</v>
      </c>
      <c r="EC42" s="6">
        <v>9.5243999999999995E-2</v>
      </c>
    </row>
    <row r="43" spans="6:133" s="1" customFormat="1" ht="15" customHeight="1" x14ac:dyDescent="0.35">
      <c r="BJ43" s="1">
        <v>4.7674047789999993E-2</v>
      </c>
      <c r="BL43" s="1">
        <f t="shared" si="14"/>
        <v>4.7674047789999993E-2</v>
      </c>
      <c r="BN43" s="1">
        <v>-1.25E-4</v>
      </c>
      <c r="BO43" s="1">
        <v>-0.18241599999999999</v>
      </c>
      <c r="BP43" s="1">
        <v>8.7543999999999997E-2</v>
      </c>
      <c r="BQ43" s="1">
        <v>8.5019999999999991E-3</v>
      </c>
      <c r="BR43" s="1">
        <v>9.7424999999999998E-2</v>
      </c>
      <c r="BS43" s="1">
        <v>0.12522800000000001</v>
      </c>
      <c r="BT43" s="1">
        <v>-0.17077100000000001</v>
      </c>
      <c r="BU43" s="1">
        <v>-0.120403</v>
      </c>
      <c r="BV43" s="1">
        <v>-6.0483000000000002E-2</v>
      </c>
      <c r="DD43" s="6">
        <v>0.25409500000000002</v>
      </c>
      <c r="DE43" s="6">
        <v>2.3907999999999999E-2</v>
      </c>
      <c r="DF43" s="6">
        <v>6.4151E-2</v>
      </c>
      <c r="DG43" s="6">
        <v>0.111695</v>
      </c>
      <c r="DH43" s="6">
        <v>-8.6248000000000005E-2</v>
      </c>
      <c r="DI43" s="6">
        <v>-0.105098</v>
      </c>
      <c r="DJ43" s="6">
        <v>0.26220900000000003</v>
      </c>
      <c r="DK43" s="6">
        <v>-0.13268099999999999</v>
      </c>
      <c r="DL43" s="6">
        <v>2.1519999999999998E-3</v>
      </c>
      <c r="DM43" s="6">
        <v>-0.249224</v>
      </c>
      <c r="DN43" s="6">
        <v>1.7284999999999998E-2</v>
      </c>
      <c r="DO43" s="6">
        <v>-1.6118E-2</v>
      </c>
      <c r="DP43" s="6">
        <v>-0.29347200000000001</v>
      </c>
      <c r="DQ43" s="6">
        <v>0.123284</v>
      </c>
      <c r="DR43" s="6">
        <v>-2.1936000000000001E-2</v>
      </c>
      <c r="DS43" s="6">
        <v>-0.20696300000000001</v>
      </c>
      <c r="DT43" s="6">
        <v>-2.2606999999999999E-2</v>
      </c>
      <c r="DU43" s="6">
        <v>-0.141156</v>
      </c>
      <c r="DW43" s="1">
        <v>0.15137039456907139</v>
      </c>
      <c r="DY43" s="6">
        <v>0.19744700000000001</v>
      </c>
      <c r="EA43" s="1">
        <f t="shared" si="19"/>
        <v>0.3488173945690714</v>
      </c>
      <c r="EC43" s="6">
        <v>-7.8292E-2</v>
      </c>
    </row>
    <row r="44" spans="6:133" s="1" customFormat="1" ht="15" customHeight="1" x14ac:dyDescent="0.35">
      <c r="F44" s="1">
        <v>-0.15118100000000001</v>
      </c>
      <c r="G44" s="1">
        <v>8.6261000000000004E-2</v>
      </c>
      <c r="H44" s="1">
        <v>1.5499999999999999E-3</v>
      </c>
      <c r="J44" s="1" cm="1">
        <f t="array" ref="J44:L46">Conv2D($B$8:$D$10,F44:H46)</f>
        <v>0</v>
      </c>
      <c r="K44" s="1">
        <v>0</v>
      </c>
      <c r="L44" s="1">
        <v>0</v>
      </c>
      <c r="N44" s="1">
        <v>-4.4040999999999997E-2</v>
      </c>
      <c r="O44" s="1">
        <v>0.22615299999999999</v>
      </c>
      <c r="P44" s="1">
        <v>2.7379000000000001E-2</v>
      </c>
      <c r="R44" s="1" cm="1">
        <f t="array" ref="R44:T46">Conv2D($B$12:$D$14,N44:P46)</f>
        <v>8.1412999999999999E-2</v>
      </c>
      <c r="S44" s="1">
        <v>0.24571200000000001</v>
      </c>
      <c r="T44" s="1">
        <v>-0.13311899999999999</v>
      </c>
      <c r="V44" s="1">
        <v>0.23109299999999999</v>
      </c>
      <c r="X44" s="1">
        <f>J44+R44+$V$8</f>
        <v>3.0074999999999998E-2</v>
      </c>
      <c r="Y44" s="1">
        <f t="shared" ref="Y44:Y46" si="72">K44+S44+$V$8</f>
        <v>0.19437400000000002</v>
      </c>
      <c r="Z44" s="1">
        <f t="shared" ref="Z44:Z46" si="73">L44+T44+$V$8</f>
        <v>-0.18445699999999998</v>
      </c>
      <c r="AB44" s="1">
        <f>MAX(0,X44)</f>
        <v>3.0074999999999998E-2</v>
      </c>
      <c r="AC44" s="1">
        <f t="shared" ref="AC44:AC46" si="74">MAX(0,Y44)</f>
        <v>0.19437400000000002</v>
      </c>
      <c r="AD44" s="1">
        <f t="shared" ref="AD44:AD46" si="75">MAX(0,Z44)</f>
        <v>0</v>
      </c>
      <c r="AF44" s="1">
        <v>-8.4930000000000005E-2</v>
      </c>
      <c r="AH44" s="1" cm="1">
        <f t="array" ref="AH44:AJ46">Conv($AB$44:$AD$46,AF44)</f>
        <v>-2.5542697500000001E-3</v>
      </c>
      <c r="AI44" s="1">
        <v>-1.6508183820000001E-2</v>
      </c>
      <c r="AJ44" s="1">
        <v>0</v>
      </c>
      <c r="AL44" s="1">
        <v>-0.112412</v>
      </c>
      <c r="AN44" s="1" cm="1">
        <f t="array" ref="AN44:AP46">Conv($AB$44:$AD$46,AL44)</f>
        <v>-3.3807908999999997E-3</v>
      </c>
      <c r="AO44" s="1">
        <v>-2.1849970088000003E-2</v>
      </c>
      <c r="AP44" s="1">
        <v>0</v>
      </c>
      <c r="AR44" s="1">
        <v>0.28298099999999998</v>
      </c>
      <c r="AT44" s="1" cm="1">
        <f t="array" ref="AT44:AV46">Conv($AB$44:$AD$46,AR44)</f>
        <v>8.510653574999999E-3</v>
      </c>
      <c r="AU44" s="1">
        <v>5.5004148894000002E-2</v>
      </c>
      <c r="AV44" s="1">
        <v>0</v>
      </c>
      <c r="AX44" s="1">
        <v>6.7801E-2</v>
      </c>
      <c r="AZ44" s="1" cm="1">
        <f t="array" ref="AZ44:BB46">Conv($AB$44:$AD$46,AX44)</f>
        <v>2.0391150749999999E-3</v>
      </c>
      <c r="BA44" s="1">
        <v>1.3178751574000001E-2</v>
      </c>
      <c r="BB44" s="1">
        <v>0</v>
      </c>
      <c r="CH44" s="1">
        <v>0.25595499999999999</v>
      </c>
      <c r="CJ44" s="1" cm="1">
        <f t="array" ref="CJ44:CL46">Conv($AB$44:$AD$46,CH44)</f>
        <v>7.6978466249999992E-3</v>
      </c>
      <c r="CK44" s="1">
        <v>4.9750997170000005E-2</v>
      </c>
      <c r="CL44" s="1">
        <v>0</v>
      </c>
      <c r="CN44" s="1">
        <v>-8.0646999999999996E-2</v>
      </c>
      <c r="CP44" s="1" cm="1">
        <f t="array" ref="CP44:CR46">Conv($AB$44:$AD$46,CN44)</f>
        <v>-2.4254585249999998E-3</v>
      </c>
      <c r="CQ44" s="1">
        <v>-1.5675679978000002E-2</v>
      </c>
      <c r="CR44" s="1">
        <v>0</v>
      </c>
      <c r="DD44" s="6">
        <v>0.21957199999999999</v>
      </c>
      <c r="DE44" s="6">
        <v>0.20267199999999999</v>
      </c>
      <c r="DF44" s="6">
        <v>-8.7886000000000006E-2</v>
      </c>
      <c r="DG44" s="6">
        <v>-6.1094999999999997E-2</v>
      </c>
      <c r="DH44" s="6">
        <v>-7.1286000000000002E-2</v>
      </c>
      <c r="DI44" s="6">
        <v>0.109954</v>
      </c>
      <c r="DJ44" s="6">
        <v>-0.16844700000000001</v>
      </c>
      <c r="DK44" s="6">
        <v>-0.12737699999999999</v>
      </c>
      <c r="DL44" s="6">
        <v>0.105938</v>
      </c>
      <c r="DM44" s="6">
        <v>-0.228855</v>
      </c>
      <c r="DN44" s="6">
        <v>-7.2719999999999998E-3</v>
      </c>
      <c r="DO44" s="6">
        <v>2.8657999999999999E-2</v>
      </c>
      <c r="DP44" s="6">
        <v>-2.0861999999999999E-2</v>
      </c>
      <c r="DQ44" s="6">
        <v>0.118336</v>
      </c>
      <c r="DR44" s="6">
        <v>-0.18906800000000001</v>
      </c>
      <c r="DS44" s="6">
        <v>-0.14457</v>
      </c>
      <c r="DT44" s="6">
        <v>-4.0918000000000003E-2</v>
      </c>
      <c r="DU44" s="6">
        <v>0.13214000000000001</v>
      </c>
      <c r="DW44" s="1">
        <v>5.0226231220755223E-2</v>
      </c>
      <c r="DY44" s="6">
        <v>8.9410000000000003E-2</v>
      </c>
      <c r="EA44" s="1">
        <f t="shared" si="19"/>
        <v>0.13963623122075522</v>
      </c>
      <c r="EC44" s="6">
        <v>-4.3805999999999998E-2</v>
      </c>
    </row>
    <row r="45" spans="6:133" s="1" customFormat="1" ht="15" customHeight="1" x14ac:dyDescent="0.35">
      <c r="F45" s="1">
        <v>-5.4940000000000003E-2</v>
      </c>
      <c r="G45" s="1">
        <v>-0.12202499999999999</v>
      </c>
      <c r="H45" s="1">
        <v>5.5390000000000002E-2</v>
      </c>
      <c r="J45" s="1">
        <v>0</v>
      </c>
      <c r="K45" s="1">
        <v>0</v>
      </c>
      <c r="L45" s="1">
        <v>0</v>
      </c>
      <c r="N45" s="1">
        <v>-7.3565000000000005E-2</v>
      </c>
      <c r="O45" s="1">
        <v>0.29826799999999998</v>
      </c>
      <c r="P45" s="1">
        <v>-9.9746000000000001E-2</v>
      </c>
      <c r="R45" s="1">
        <v>-9.9746000000000001E-2</v>
      </c>
      <c r="S45" s="1">
        <v>0.29826799999999998</v>
      </c>
      <c r="T45" s="1">
        <v>-7.3565000000000005E-2</v>
      </c>
      <c r="X45" s="1">
        <f t="shared" ref="X45:X46" si="76">J45+R45+$V$8</f>
        <v>-0.151084</v>
      </c>
      <c r="Y45" s="1">
        <f t="shared" si="72"/>
        <v>0.24692999999999998</v>
      </c>
      <c r="Z45" s="1">
        <f t="shared" si="73"/>
        <v>-0.12490300000000001</v>
      </c>
      <c r="AB45" s="1">
        <f t="shared" ref="AB45:AB46" si="77">MAX(0,X45)</f>
        <v>0</v>
      </c>
      <c r="AC45" s="1">
        <f t="shared" si="74"/>
        <v>0.24692999999999998</v>
      </c>
      <c r="AD45" s="1">
        <f t="shared" si="75"/>
        <v>0</v>
      </c>
      <c r="AH45" s="1">
        <v>0</v>
      </c>
      <c r="AI45" s="1">
        <v>-2.0971764899999999E-2</v>
      </c>
      <c r="AJ45" s="1">
        <v>0</v>
      </c>
      <c r="AN45" s="1">
        <v>0</v>
      </c>
      <c r="AO45" s="1">
        <v>-2.7757895159999997E-2</v>
      </c>
      <c r="AP45" s="1">
        <v>0</v>
      </c>
      <c r="AT45" s="1">
        <v>0</v>
      </c>
      <c r="AU45" s="1">
        <v>6.9876498329999995E-2</v>
      </c>
      <c r="AV45" s="1">
        <v>0</v>
      </c>
      <c r="AZ45" s="1">
        <v>0</v>
      </c>
      <c r="BA45" s="1">
        <v>1.674210093E-2</v>
      </c>
      <c r="BB45" s="1">
        <v>0</v>
      </c>
      <c r="CJ45" s="1">
        <v>0</v>
      </c>
      <c r="CK45" s="1">
        <v>6.3202968149999997E-2</v>
      </c>
      <c r="CL45" s="1">
        <v>0</v>
      </c>
      <c r="CP45" s="1">
        <v>0</v>
      </c>
      <c r="CQ45" s="1">
        <v>-1.9914163709999998E-2</v>
      </c>
      <c r="CR45" s="1">
        <v>0</v>
      </c>
      <c r="DD45" s="6">
        <v>0.22034300000000001</v>
      </c>
      <c r="DE45" s="6">
        <v>2.0573000000000001E-2</v>
      </c>
      <c r="DF45" s="6">
        <v>0.23286999999999999</v>
      </c>
      <c r="DG45" s="6">
        <v>0.158943</v>
      </c>
      <c r="DH45" s="6">
        <v>-0.144263</v>
      </c>
      <c r="DI45" s="6">
        <v>-0.13487299999999999</v>
      </c>
      <c r="DJ45" s="6">
        <v>4.0508000000000002E-2</v>
      </c>
      <c r="DK45" s="6">
        <v>3.8614000000000002E-2</v>
      </c>
      <c r="DL45" s="6">
        <v>0.14150599999999999</v>
      </c>
      <c r="DM45" s="6">
        <v>0.13211899999999999</v>
      </c>
      <c r="DN45" s="6">
        <v>-0.152004</v>
      </c>
      <c r="DO45" s="6">
        <v>1.2467000000000001E-2</v>
      </c>
      <c r="DP45" s="6">
        <v>-0.214897</v>
      </c>
      <c r="DQ45" s="6">
        <v>-4.8224000000000003E-2</v>
      </c>
      <c r="DR45" s="6">
        <v>-1.2498E-2</v>
      </c>
      <c r="DS45" s="6">
        <v>2.7075999999999999E-2</v>
      </c>
      <c r="DT45" s="6">
        <v>-6.6771999999999998E-2</v>
      </c>
      <c r="DU45" s="6">
        <v>-0.166578</v>
      </c>
      <c r="DW45" s="1">
        <v>0.15058412999080845</v>
      </c>
      <c r="DY45" s="6">
        <v>3.8779999999999999E-3</v>
      </c>
      <c r="EA45" s="1">
        <f t="shared" si="19"/>
        <v>0.15446212999080844</v>
      </c>
      <c r="EC45" s="6">
        <v>-0.17626800000000001</v>
      </c>
    </row>
    <row r="46" spans="6:133" s="1" customFormat="1" ht="15" customHeight="1" x14ac:dyDescent="0.35">
      <c r="F46" s="1">
        <v>3.5388999999999997E-2</v>
      </c>
      <c r="G46" s="1">
        <v>0.121748</v>
      </c>
      <c r="H46" s="1">
        <v>-3.3779000000000003E-2</v>
      </c>
      <c r="J46" s="1">
        <v>0</v>
      </c>
      <c r="K46" s="1">
        <v>0</v>
      </c>
      <c r="L46" s="1">
        <v>0</v>
      </c>
      <c r="N46" s="1">
        <v>-0.13311899999999999</v>
      </c>
      <c r="O46" s="1">
        <v>0.24571200000000001</v>
      </c>
      <c r="P46" s="1">
        <v>8.1412999999999999E-2</v>
      </c>
      <c r="R46" s="1">
        <v>2.7379000000000001E-2</v>
      </c>
      <c r="S46" s="1">
        <v>0.22615299999999999</v>
      </c>
      <c r="T46" s="1">
        <v>-4.4040999999999997E-2</v>
      </c>
      <c r="X46" s="1">
        <f t="shared" si="76"/>
        <v>-2.3959000000000001E-2</v>
      </c>
      <c r="Y46" s="1">
        <f t="shared" si="72"/>
        <v>0.174815</v>
      </c>
      <c r="Z46" s="1">
        <f t="shared" si="73"/>
        <v>-9.5378999999999992E-2</v>
      </c>
      <c r="AB46" s="1">
        <f t="shared" si="77"/>
        <v>0</v>
      </c>
      <c r="AC46" s="1">
        <f t="shared" si="74"/>
        <v>0.174815</v>
      </c>
      <c r="AD46" s="1">
        <f t="shared" si="75"/>
        <v>0</v>
      </c>
      <c r="AH46" s="1">
        <v>0</v>
      </c>
      <c r="AI46" s="1">
        <v>-1.4847037950000001E-2</v>
      </c>
      <c r="AJ46" s="1">
        <v>0</v>
      </c>
      <c r="AN46" s="1">
        <v>0</v>
      </c>
      <c r="AO46" s="1">
        <v>-1.9651303780000001E-2</v>
      </c>
      <c r="AP46" s="1">
        <v>0</v>
      </c>
      <c r="AT46" s="1">
        <v>0</v>
      </c>
      <c r="AU46" s="1">
        <v>4.9469323514999997E-2</v>
      </c>
      <c r="AV46" s="1">
        <v>0</v>
      </c>
      <c r="AZ46" s="1">
        <v>0</v>
      </c>
      <c r="BA46" s="1">
        <v>1.1852631815E-2</v>
      </c>
      <c r="BB46" s="1">
        <v>0</v>
      </c>
      <c r="CJ46" s="1">
        <v>0</v>
      </c>
      <c r="CK46" s="1">
        <v>4.4744773325000001E-2</v>
      </c>
      <c r="CL46" s="1">
        <v>0</v>
      </c>
      <c r="CP46" s="1">
        <v>0</v>
      </c>
      <c r="CQ46" s="1">
        <v>-1.4098305304999999E-2</v>
      </c>
      <c r="CR46" s="1">
        <v>0</v>
      </c>
      <c r="DD46" s="6">
        <v>-4.5350000000000001E-2</v>
      </c>
      <c r="DE46" s="6">
        <v>0.15670799999999999</v>
      </c>
      <c r="DF46" s="6">
        <v>3.4419999999999999E-2</v>
      </c>
      <c r="DG46" s="6">
        <v>-3.2668999999999997E-2</v>
      </c>
      <c r="DH46" s="6">
        <v>-2.4157000000000001E-2</v>
      </c>
      <c r="DI46" s="6">
        <v>-8.1631999999999996E-2</v>
      </c>
      <c r="DJ46" s="6">
        <v>0.17200099999999999</v>
      </c>
      <c r="DK46" s="6">
        <v>-0.108986</v>
      </c>
      <c r="DL46" s="6">
        <v>-0.102843</v>
      </c>
      <c r="DM46" s="6">
        <v>-0.170873</v>
      </c>
      <c r="DN46" s="6">
        <v>0.27020100000000002</v>
      </c>
      <c r="DO46" s="6">
        <v>0.109504</v>
      </c>
      <c r="DP46" s="6">
        <v>0.29055799999999998</v>
      </c>
      <c r="DQ46" s="6">
        <v>-0.212425</v>
      </c>
      <c r="DR46" s="6">
        <v>7.7404000000000001E-2</v>
      </c>
      <c r="DS46" s="6">
        <v>-6.1796999999999998E-2</v>
      </c>
      <c r="DT46" s="6">
        <v>0.14102799999999999</v>
      </c>
      <c r="DU46" s="6">
        <v>-0.167932</v>
      </c>
      <c r="DW46" s="1">
        <v>-8.2389617668649027E-4</v>
      </c>
      <c r="DY46" s="6">
        <v>-2.7234999999999999E-2</v>
      </c>
      <c r="EA46" s="1">
        <f t="shared" si="19"/>
        <v>0</v>
      </c>
      <c r="EC46" s="6">
        <v>7.9828999999999997E-2</v>
      </c>
    </row>
    <row r="47" spans="6:133" s="1" customFormat="1" ht="15" customHeight="1" x14ac:dyDescent="0.35">
      <c r="DD47" s="6">
        <v>2.5829999999999998E-3</v>
      </c>
      <c r="DE47" s="6">
        <v>-0.17677499999999999</v>
      </c>
      <c r="DF47" s="6">
        <v>-0.19975399999999999</v>
      </c>
      <c r="DG47" s="6">
        <v>-0.23614499999999999</v>
      </c>
      <c r="DH47" s="6">
        <v>0.21285299999999999</v>
      </c>
      <c r="DI47" s="6">
        <v>-0.16933100000000001</v>
      </c>
      <c r="DJ47" s="6">
        <v>0.13923099999999999</v>
      </c>
      <c r="DK47" s="6">
        <v>0.19233700000000001</v>
      </c>
      <c r="DL47" s="6">
        <v>4.5915999999999998E-2</v>
      </c>
      <c r="DM47" s="6">
        <v>-0.20036799999999999</v>
      </c>
      <c r="DN47" s="6">
        <v>-8.3187999999999998E-2</v>
      </c>
      <c r="DO47" s="6">
        <v>8.0976000000000006E-2</v>
      </c>
      <c r="DP47" s="6">
        <v>-0.157975</v>
      </c>
      <c r="DQ47" s="6">
        <v>-9.7295000000000006E-2</v>
      </c>
      <c r="DR47" s="6">
        <v>0.13947999999999999</v>
      </c>
      <c r="DS47" s="6">
        <v>0.156469</v>
      </c>
      <c r="DT47" s="6">
        <v>-6.6965999999999998E-2</v>
      </c>
      <c r="DU47" s="6">
        <v>-0.15896399999999999</v>
      </c>
      <c r="DW47" s="1">
        <v>-1.8968977591453367E-3</v>
      </c>
      <c r="DY47" s="6">
        <v>-0.21280399999999999</v>
      </c>
      <c r="EA47" s="1">
        <f t="shared" si="19"/>
        <v>0</v>
      </c>
      <c r="EC47" s="6">
        <v>-9.9374000000000004E-2</v>
      </c>
    </row>
    <row r="48" spans="6:133" s="1" customFormat="1" ht="15" customHeight="1" x14ac:dyDescent="0.35">
      <c r="F48" s="1">
        <v>8.3580000000000002E-2</v>
      </c>
      <c r="G48" s="1">
        <v>-0.23052400000000001</v>
      </c>
      <c r="H48" s="1">
        <v>0.103878</v>
      </c>
      <c r="J48" s="1" cm="1">
        <f t="array" ref="J48:L50">Conv2D($B$8:$D$10,F48:H50)</f>
        <v>0</v>
      </c>
      <c r="K48" s="1">
        <v>0</v>
      </c>
      <c r="L48" s="1">
        <v>0</v>
      </c>
      <c r="N48" s="1">
        <v>1.6455000000000001E-2</v>
      </c>
      <c r="O48" s="1">
        <v>-7.9000000000000008E-3</v>
      </c>
      <c r="P48" s="1">
        <v>9.7167000000000003E-2</v>
      </c>
      <c r="R48" s="1" cm="1">
        <f t="array" ref="R48:T50">Conv2D($B$12:$D$14,N48:P50)</f>
        <v>-4.6826E-2</v>
      </c>
      <c r="S48" s="1">
        <v>-7.1329999999999996E-3</v>
      </c>
      <c r="T48" s="1">
        <v>0.253469</v>
      </c>
      <c r="V48" s="1">
        <v>2.3428000000000001E-2</v>
      </c>
      <c r="X48" s="1">
        <f>J48+R48+$V$8</f>
        <v>-9.8164000000000001E-2</v>
      </c>
      <c r="Y48" s="1">
        <f t="shared" ref="Y48:Y50" si="78">K48+S48+$V$8</f>
        <v>-5.8471000000000002E-2</v>
      </c>
      <c r="Z48" s="1">
        <f t="shared" ref="Z48:Z50" si="79">L48+T48+$V$8</f>
        <v>0.20213100000000001</v>
      </c>
      <c r="AB48" s="1">
        <f>MAX(0,X48)</f>
        <v>0</v>
      </c>
      <c r="AC48" s="1">
        <f t="shared" ref="AC48:AC50" si="80">MAX(0,Y48)</f>
        <v>0</v>
      </c>
      <c r="AD48" s="1">
        <f t="shared" ref="AD48:AD50" si="81">MAX(0,Z48)</f>
        <v>0.20213100000000001</v>
      </c>
      <c r="AF48" s="1">
        <v>-0.17490700000000001</v>
      </c>
      <c r="AH48" s="1" cm="1">
        <f t="array" ref="AH48:AJ50">Conv($AB$48:$AD$50,AF48)</f>
        <v>0</v>
      </c>
      <c r="AI48" s="1">
        <v>0</v>
      </c>
      <c r="AJ48" s="1">
        <v>-3.5354126817000002E-2</v>
      </c>
      <c r="AL48" s="1">
        <v>0.245476</v>
      </c>
      <c r="AN48" s="1" cm="1">
        <f t="array" ref="AN48:AP50">Conv($AB$48:$AD$50,AL48)</f>
        <v>0</v>
      </c>
      <c r="AO48" s="1">
        <v>0</v>
      </c>
      <c r="AP48" s="1">
        <v>4.9618309356E-2</v>
      </c>
      <c r="AR48" s="1">
        <v>0.197349</v>
      </c>
      <c r="AT48" s="1" cm="1">
        <f t="array" ref="AT48:AV50">Conv($AB$48:$AD$50,AR48)</f>
        <v>0</v>
      </c>
      <c r="AU48" s="1">
        <v>0</v>
      </c>
      <c r="AV48" s="1">
        <v>3.9890350719000003E-2</v>
      </c>
      <c r="AX48" s="1">
        <v>-2.7095000000000001E-2</v>
      </c>
      <c r="AZ48" s="1" cm="1">
        <f t="array" ref="AZ48:BB50">Conv($AB$48:$AD$50,AX48)</f>
        <v>0</v>
      </c>
      <c r="BA48" s="1">
        <v>0</v>
      </c>
      <c r="BB48" s="1">
        <v>-5.476739445E-3</v>
      </c>
      <c r="CH48" s="1">
        <v>-0.121291</v>
      </c>
      <c r="CJ48" s="1" cm="1">
        <f t="array" ref="CJ48:CL50">Conv($AB$48:$AD$50,CH48)</f>
        <v>0</v>
      </c>
      <c r="CK48" s="1">
        <v>0</v>
      </c>
      <c r="CL48" s="1">
        <v>-2.4516671120999999E-2</v>
      </c>
      <c r="CN48" s="1">
        <v>8.1849000000000005E-2</v>
      </c>
      <c r="CP48" s="1" cm="1">
        <f t="array" ref="CP48:CR50">Conv($AB$48:$AD$50,CN48)</f>
        <v>0</v>
      </c>
      <c r="CQ48" s="1">
        <v>0</v>
      </c>
      <c r="CR48" s="1">
        <v>1.6544220219000001E-2</v>
      </c>
      <c r="DD48" s="6">
        <v>-0.14780199999999999</v>
      </c>
      <c r="DE48" s="6">
        <v>-2.5163000000000001E-2</v>
      </c>
      <c r="DF48" s="6">
        <v>7.5655E-2</v>
      </c>
      <c r="DG48" s="6">
        <v>0.22226899999999999</v>
      </c>
      <c r="DH48" s="6">
        <v>-0.24258399999999999</v>
      </c>
      <c r="DI48" s="6">
        <v>-0.116421</v>
      </c>
      <c r="DJ48" s="6">
        <v>-0.24579599999999999</v>
      </c>
      <c r="DK48" s="6">
        <v>-0.100469</v>
      </c>
      <c r="DL48" s="6">
        <v>0.14738799999999999</v>
      </c>
      <c r="DM48" s="6">
        <v>-0.15103800000000001</v>
      </c>
      <c r="DN48" s="6">
        <v>7.8732999999999997E-2</v>
      </c>
      <c r="DO48" s="6">
        <v>-0.17834</v>
      </c>
      <c r="DP48" s="6">
        <v>0.15581500000000001</v>
      </c>
      <c r="DQ48" s="6">
        <v>0.219638</v>
      </c>
      <c r="DR48" s="6">
        <v>-1.2904000000000001E-2</v>
      </c>
      <c r="DS48" s="6">
        <v>-2.716E-2</v>
      </c>
      <c r="DT48" s="6">
        <v>3.4611999999999997E-2</v>
      </c>
      <c r="DU48" s="6">
        <v>3.0735999999999999E-2</v>
      </c>
      <c r="DW48" s="1">
        <v>-0.19688669294492619</v>
      </c>
      <c r="DY48" s="6">
        <v>0.243036</v>
      </c>
      <c r="EA48" s="1">
        <f t="shared" si="19"/>
        <v>4.6149307055073807E-2</v>
      </c>
      <c r="EC48" s="6">
        <v>9.6035999999999996E-2</v>
      </c>
    </row>
    <row r="49" spans="6:133" s="1" customFormat="1" ht="15" customHeight="1" x14ac:dyDescent="0.35">
      <c r="F49" s="1">
        <v>-0.122891</v>
      </c>
      <c r="G49" s="1">
        <v>-0.180088</v>
      </c>
      <c r="H49" s="1">
        <v>0.23610600000000001</v>
      </c>
      <c r="J49" s="1">
        <v>0</v>
      </c>
      <c r="K49" s="1">
        <v>0</v>
      </c>
      <c r="L49" s="1">
        <v>0</v>
      </c>
      <c r="N49" s="1">
        <v>-2.0868999999999999E-2</v>
      </c>
      <c r="O49" s="1">
        <v>-0.15168999999999999</v>
      </c>
      <c r="P49" s="1">
        <v>-1.4841999999999999E-2</v>
      </c>
      <c r="R49" s="1">
        <v>-1.4841999999999999E-2</v>
      </c>
      <c r="S49" s="1">
        <v>-0.15168999999999999</v>
      </c>
      <c r="T49" s="1">
        <v>-2.0868999999999999E-2</v>
      </c>
      <c r="X49" s="1">
        <f t="shared" ref="X49:X50" si="82">J49+R49+$V$8</f>
        <v>-6.6180000000000003E-2</v>
      </c>
      <c r="Y49" s="1">
        <f t="shared" si="78"/>
        <v>-0.20302799999999999</v>
      </c>
      <c r="Z49" s="1">
        <f t="shared" si="79"/>
        <v>-7.2206999999999993E-2</v>
      </c>
      <c r="AB49" s="1">
        <f t="shared" ref="AB49:AB50" si="83">MAX(0,X49)</f>
        <v>0</v>
      </c>
      <c r="AC49" s="1">
        <f t="shared" si="80"/>
        <v>0</v>
      </c>
      <c r="AD49" s="1">
        <f t="shared" si="81"/>
        <v>0</v>
      </c>
      <c r="AH49" s="1">
        <v>0</v>
      </c>
      <c r="AI49" s="1">
        <v>0</v>
      </c>
      <c r="AJ49" s="1">
        <v>0</v>
      </c>
      <c r="AN49" s="1">
        <v>0</v>
      </c>
      <c r="AO49" s="1">
        <v>0</v>
      </c>
      <c r="AP49" s="1">
        <v>0</v>
      </c>
      <c r="AT49" s="1">
        <v>0</v>
      </c>
      <c r="AU49" s="1">
        <v>0</v>
      </c>
      <c r="AV49" s="1">
        <v>0</v>
      </c>
      <c r="AZ49" s="1">
        <v>0</v>
      </c>
      <c r="BA49" s="1">
        <v>0</v>
      </c>
      <c r="BB49" s="1">
        <v>0</v>
      </c>
      <c r="CJ49" s="1">
        <v>0</v>
      </c>
      <c r="CK49" s="1">
        <v>0</v>
      </c>
      <c r="CL49" s="1">
        <v>0</v>
      </c>
      <c r="CP49" s="1">
        <v>0</v>
      </c>
      <c r="CQ49" s="1">
        <v>0</v>
      </c>
      <c r="CR49" s="1">
        <v>0</v>
      </c>
      <c r="DD49" s="6">
        <v>7.3020000000000002E-2</v>
      </c>
      <c r="DE49" s="6">
        <v>5.4009000000000001E-2</v>
      </c>
      <c r="DF49" s="6">
        <v>-7.1216000000000002E-2</v>
      </c>
      <c r="DG49" s="6">
        <v>-9.6460000000000004E-2</v>
      </c>
      <c r="DH49" s="6">
        <v>-0.12038</v>
      </c>
      <c r="DI49" s="6">
        <v>1.9793999999999999E-2</v>
      </c>
      <c r="DJ49" s="6">
        <v>-8.9666999999999997E-2</v>
      </c>
      <c r="DK49" s="6">
        <v>-5.3636000000000003E-2</v>
      </c>
      <c r="DL49" s="6">
        <v>7.1002999999999997E-2</v>
      </c>
      <c r="DM49" s="6">
        <v>-0.19572899999999999</v>
      </c>
      <c r="DN49" s="6">
        <v>0.18468200000000001</v>
      </c>
      <c r="DO49" s="6">
        <v>5.4225000000000002E-2</v>
      </c>
      <c r="DP49" s="6">
        <v>9.2343999999999996E-2</v>
      </c>
      <c r="DQ49" s="6">
        <v>8.4841E-2</v>
      </c>
      <c r="DR49" s="6">
        <v>1.7793E-2</v>
      </c>
      <c r="DS49" s="6">
        <v>-9.4038999999999998E-2</v>
      </c>
      <c r="DT49" s="6">
        <v>-0.13374900000000001</v>
      </c>
      <c r="DU49" s="6">
        <v>6.1568999999999999E-2</v>
      </c>
      <c r="DW49" s="1">
        <v>-5.1381956955549299E-2</v>
      </c>
      <c r="DY49" s="6">
        <v>-0.132295</v>
      </c>
      <c r="EA49" s="1">
        <f t="shared" si="19"/>
        <v>0</v>
      </c>
      <c r="EC49" s="6">
        <v>0.109454</v>
      </c>
    </row>
    <row r="50" spans="6:133" s="1" customFormat="1" ht="15" customHeight="1" x14ac:dyDescent="0.35">
      <c r="F50" s="1">
        <v>-0.104861</v>
      </c>
      <c r="G50" s="1">
        <v>-0.141872</v>
      </c>
      <c r="H50" s="1">
        <v>-0.127447</v>
      </c>
      <c r="J50" s="1">
        <v>0</v>
      </c>
      <c r="K50" s="1">
        <v>0</v>
      </c>
      <c r="L50" s="1">
        <v>0</v>
      </c>
      <c r="N50" s="1">
        <v>0.253469</v>
      </c>
      <c r="O50" s="1">
        <v>-7.1329999999999996E-3</v>
      </c>
      <c r="P50" s="1">
        <v>-4.6826E-2</v>
      </c>
      <c r="R50" s="1">
        <v>9.7167000000000003E-2</v>
      </c>
      <c r="S50" s="1">
        <v>-7.9000000000000008E-3</v>
      </c>
      <c r="T50" s="1">
        <v>1.6455000000000001E-2</v>
      </c>
      <c r="X50" s="1">
        <f t="shared" si="82"/>
        <v>4.5829000000000002E-2</v>
      </c>
      <c r="Y50" s="1">
        <f t="shared" si="78"/>
        <v>-5.9237999999999999E-2</v>
      </c>
      <c r="Z50" s="1">
        <f t="shared" si="79"/>
        <v>-3.4882999999999997E-2</v>
      </c>
      <c r="AB50" s="1">
        <f t="shared" si="83"/>
        <v>4.5829000000000002E-2</v>
      </c>
      <c r="AC50" s="1">
        <f t="shared" si="80"/>
        <v>0</v>
      </c>
      <c r="AD50" s="1">
        <f t="shared" si="81"/>
        <v>0</v>
      </c>
      <c r="AH50" s="1">
        <v>-8.0158129030000001E-3</v>
      </c>
      <c r="AI50" s="1">
        <v>0</v>
      </c>
      <c r="AJ50" s="1">
        <v>0</v>
      </c>
      <c r="AN50" s="1">
        <v>1.1249919604E-2</v>
      </c>
      <c r="AO50" s="1">
        <v>0</v>
      </c>
      <c r="AP50" s="1">
        <v>0</v>
      </c>
      <c r="AT50" s="1">
        <v>9.0443073210000006E-3</v>
      </c>
      <c r="AU50" s="1">
        <v>0</v>
      </c>
      <c r="AV50" s="1">
        <v>0</v>
      </c>
      <c r="AZ50" s="1">
        <v>-1.241736755E-3</v>
      </c>
      <c r="BA50" s="1">
        <v>0</v>
      </c>
      <c r="BB50" s="1">
        <v>0</v>
      </c>
      <c r="CJ50" s="1">
        <v>-5.5586452390000004E-3</v>
      </c>
      <c r="CK50" s="1">
        <v>0</v>
      </c>
      <c r="CL50" s="1">
        <v>0</v>
      </c>
      <c r="CP50" s="1">
        <v>3.7510578210000005E-3</v>
      </c>
      <c r="CQ50" s="1">
        <v>0</v>
      </c>
      <c r="CR50" s="1">
        <v>0</v>
      </c>
      <c r="DD50" s="6">
        <v>0.18033299999999999</v>
      </c>
      <c r="DE50" s="6">
        <v>0.15452199999999999</v>
      </c>
      <c r="DF50" s="6">
        <v>6.1905000000000002E-2</v>
      </c>
      <c r="DG50" s="6">
        <v>-0.17725299999999999</v>
      </c>
      <c r="DH50" s="6">
        <v>9.8580000000000004E-3</v>
      </c>
      <c r="DI50" s="6">
        <v>6.4779000000000003E-2</v>
      </c>
      <c r="DJ50" s="6">
        <v>0.15845500000000001</v>
      </c>
      <c r="DK50" s="6">
        <v>9.5399999999999999E-2</v>
      </c>
      <c r="DL50" s="6">
        <v>0.13947000000000001</v>
      </c>
      <c r="DM50" s="6">
        <v>-0.130686</v>
      </c>
      <c r="DN50" s="6">
        <v>-0.29321700000000001</v>
      </c>
      <c r="DO50" s="6">
        <v>0.20027500000000001</v>
      </c>
      <c r="DP50" s="6">
        <v>-0.131851</v>
      </c>
      <c r="DQ50" s="6">
        <v>0.100411</v>
      </c>
      <c r="DR50" s="6">
        <v>-0.17471200000000001</v>
      </c>
      <c r="DS50" s="6">
        <v>1.5672999999999999E-2</v>
      </c>
      <c r="DT50" s="6">
        <v>-0.14471899999999999</v>
      </c>
      <c r="DU50" s="6">
        <v>9.4374E-2</v>
      </c>
      <c r="DW50" s="1">
        <v>0.21518434463685357</v>
      </c>
      <c r="DY50" s="6">
        <v>0.15989600000000001</v>
      </c>
      <c r="EA50" s="1">
        <f t="shared" si="19"/>
        <v>0.37508034463685358</v>
      </c>
      <c r="EC50" s="6">
        <v>-8.2766999999999993E-2</v>
      </c>
    </row>
    <row r="51" spans="6:133" s="1" customFormat="1" ht="15" customHeight="1" x14ac:dyDescent="0.35">
      <c r="DD51" s="6">
        <v>-4.0245999999999997E-2</v>
      </c>
      <c r="DE51" s="6">
        <v>-6.3133999999999996E-2</v>
      </c>
      <c r="DF51" s="6">
        <v>0.122464</v>
      </c>
      <c r="DG51" s="6">
        <v>-0.14993899999999999</v>
      </c>
      <c r="DH51" s="6">
        <v>4.4318999999999997E-2</v>
      </c>
      <c r="DI51" s="6">
        <v>-0.24497099999999999</v>
      </c>
      <c r="DJ51" s="6">
        <v>-4.5002E-2</v>
      </c>
      <c r="DK51" s="6">
        <v>0.16934099999999999</v>
      </c>
      <c r="DL51" s="6">
        <v>-0.211733</v>
      </c>
      <c r="DM51" s="6">
        <v>-0.15376400000000001</v>
      </c>
      <c r="DN51" s="6">
        <v>0.178122</v>
      </c>
      <c r="DO51" s="6">
        <v>-0.25792199999999998</v>
      </c>
      <c r="DP51" s="6">
        <v>0.125831</v>
      </c>
      <c r="DQ51" s="6">
        <v>0.20879300000000001</v>
      </c>
      <c r="DR51" s="6">
        <v>-5.5856999999999997E-2</v>
      </c>
      <c r="DS51" s="6">
        <v>-0.27299699999999999</v>
      </c>
      <c r="DT51" s="6">
        <v>-0.13337399999999999</v>
      </c>
      <c r="DU51" s="6">
        <v>0.188189</v>
      </c>
      <c r="DW51" s="1">
        <v>-0.11610240012727906</v>
      </c>
      <c r="DY51" s="6">
        <v>0.12859799999999999</v>
      </c>
      <c r="EA51" s="1">
        <f t="shared" si="19"/>
        <v>1.2495599872720933E-2</v>
      </c>
      <c r="EC51" s="6">
        <v>-2.0119000000000001E-2</v>
      </c>
    </row>
    <row r="52" spans="6:133" s="1" customFormat="1" ht="15" customHeight="1" x14ac:dyDescent="0.35">
      <c r="F52" s="1">
        <v>-0.32664199999999999</v>
      </c>
      <c r="G52" s="1">
        <v>0.288748</v>
      </c>
      <c r="H52" s="1">
        <v>0.29838399999999998</v>
      </c>
      <c r="J52" s="1" cm="1">
        <f t="array" ref="J52:L54">Conv2D($B$8:$D$10,F52:H54)</f>
        <v>0</v>
      </c>
      <c r="K52" s="1">
        <v>0</v>
      </c>
      <c r="L52" s="1">
        <v>0</v>
      </c>
      <c r="N52" s="1">
        <v>3.7100000000000002E-4</v>
      </c>
      <c r="O52" s="1">
        <v>0.22557099999999999</v>
      </c>
      <c r="P52" s="1">
        <v>0.160884</v>
      </c>
      <c r="R52" s="1" cm="1">
        <f t="array" ref="R52:T54">Conv2D($B$12:$D$14,N52:P54)</f>
        <v>0.204323</v>
      </c>
      <c r="S52" s="1">
        <v>0.27535599999999999</v>
      </c>
      <c r="T52" s="1">
        <v>-0.13402600000000001</v>
      </c>
      <c r="V52" s="1">
        <v>0.19420100000000001</v>
      </c>
      <c r="X52" s="1">
        <f>J52+R52+$V$8</f>
        <v>0.15298500000000001</v>
      </c>
      <c r="Y52" s="1">
        <f t="shared" ref="Y52:Y54" si="84">K52+S52+$V$8</f>
        <v>0.22401799999999999</v>
      </c>
      <c r="Z52" s="1">
        <f t="shared" ref="Z52:Z54" si="85">L52+T52+$V$8</f>
        <v>-0.185364</v>
      </c>
      <c r="AB52" s="1">
        <f>MAX(0,X52)</f>
        <v>0.15298500000000001</v>
      </c>
      <c r="AC52" s="1">
        <f t="shared" ref="AC52:AC54" si="86">MAX(0,Y52)</f>
        <v>0.22401799999999999</v>
      </c>
      <c r="AD52" s="1">
        <f t="shared" ref="AD52:AD54" si="87">MAX(0,Z52)</f>
        <v>0</v>
      </c>
      <c r="AF52" s="1">
        <v>-0.21628</v>
      </c>
      <c r="AH52" s="1" cm="1">
        <f t="array" ref="AH52:AJ54">Conv($AB$52:$AD$54,AF52)</f>
        <v>-3.3087595800000001E-2</v>
      </c>
      <c r="AI52" s="1">
        <v>-4.845061304E-2</v>
      </c>
      <c r="AJ52" s="1">
        <v>0</v>
      </c>
      <c r="AL52" s="1">
        <v>-0.22986699999999999</v>
      </c>
      <c r="AN52" s="1" cm="1">
        <f t="array" ref="AN52:AP54">Conv($AB$52:$AD$54,AL52)</f>
        <v>-3.5166202995E-2</v>
      </c>
      <c r="AO52" s="1">
        <v>-5.1494345605999997E-2</v>
      </c>
      <c r="AP52" s="1">
        <v>0</v>
      </c>
      <c r="AR52" s="1">
        <v>0.40300799999999998</v>
      </c>
      <c r="AT52" s="1" cm="1">
        <f t="array" ref="AT52:AV54">Conv($AB$52:$AD$54,AR52)</f>
        <v>6.165417888E-2</v>
      </c>
      <c r="AU52" s="1">
        <v>9.0281046143999996E-2</v>
      </c>
      <c r="AV52" s="1">
        <v>0</v>
      </c>
      <c r="AX52" s="1">
        <v>0.215418</v>
      </c>
      <c r="AZ52" s="1" cm="1">
        <f t="array" ref="AZ52:BB54">Conv($AB$52:$AD$54,AX52)</f>
        <v>3.2955722730000005E-2</v>
      </c>
      <c r="BA52" s="1">
        <v>4.8257509524E-2</v>
      </c>
      <c r="BB52" s="1">
        <v>0</v>
      </c>
      <c r="CH52" s="1">
        <v>-0.166352</v>
      </c>
      <c r="CJ52" s="1" cm="1">
        <f t="array" ref="CJ52:CL54">Conv($AB$52:$AD$54,CH52)</f>
        <v>-2.5449360720000001E-2</v>
      </c>
      <c r="CK52" s="1">
        <v>-3.7265842335999999E-2</v>
      </c>
      <c r="CL52" s="1">
        <v>0</v>
      </c>
      <c r="CN52" s="1">
        <v>0.21965100000000001</v>
      </c>
      <c r="CP52" s="1" cm="1">
        <f t="array" ref="CP52:CR54">Conv($AB$52:$AD$54,CN52)</f>
        <v>3.3603308235000004E-2</v>
      </c>
      <c r="CQ52" s="1">
        <v>4.9205777717999999E-2</v>
      </c>
      <c r="CR52" s="1">
        <v>0</v>
      </c>
      <c r="DD52" s="6">
        <v>-0.172292</v>
      </c>
      <c r="DE52" s="6">
        <v>-0.18395</v>
      </c>
      <c r="DF52" s="6">
        <v>-5.2323000000000001E-2</v>
      </c>
      <c r="DG52" s="6">
        <v>6.9100000000000003E-3</v>
      </c>
      <c r="DH52" s="6">
        <v>-5.3803999999999998E-2</v>
      </c>
      <c r="DI52" s="6">
        <v>-4.1808999999999999E-2</v>
      </c>
      <c r="DJ52" s="6">
        <v>-2.3713999999999999E-2</v>
      </c>
      <c r="DK52" s="6">
        <v>-0.214341</v>
      </c>
      <c r="DL52" s="6">
        <v>-4.1315999999999999E-2</v>
      </c>
      <c r="DM52" s="6">
        <v>-0.21483099999999999</v>
      </c>
      <c r="DN52" s="6">
        <v>-9.2280000000000001E-2</v>
      </c>
      <c r="DO52" s="6">
        <v>3.6547999999999997E-2</v>
      </c>
      <c r="DP52" s="6">
        <v>-7.3705999999999994E-2</v>
      </c>
      <c r="DQ52" s="6">
        <v>0.18882599999999999</v>
      </c>
      <c r="DR52" s="6">
        <v>0.14359</v>
      </c>
      <c r="DS52" s="6">
        <v>0.16111500000000001</v>
      </c>
      <c r="DT52" s="6">
        <v>0.124264</v>
      </c>
      <c r="DU52" s="6">
        <v>-0.164468</v>
      </c>
      <c r="DW52" s="1">
        <v>-0.22827449794396823</v>
      </c>
      <c r="DY52" s="6">
        <v>-0.20652200000000001</v>
      </c>
      <c r="EA52" s="1">
        <f t="shared" si="19"/>
        <v>0</v>
      </c>
      <c r="EC52" s="6">
        <v>0.107109</v>
      </c>
    </row>
    <row r="53" spans="6:133" s="1" customFormat="1" ht="15" customHeight="1" x14ac:dyDescent="0.35">
      <c r="F53" s="1">
        <v>0.119016</v>
      </c>
      <c r="G53" s="1">
        <v>2.2438E-2</v>
      </c>
      <c r="H53" s="1">
        <v>0.24948999999999999</v>
      </c>
      <c r="J53" s="1">
        <v>0</v>
      </c>
      <c r="K53" s="1">
        <v>0</v>
      </c>
      <c r="L53" s="1">
        <v>0</v>
      </c>
      <c r="N53" s="1">
        <v>0.167043</v>
      </c>
      <c r="O53" s="1">
        <v>5.5405000000000003E-2</v>
      </c>
      <c r="P53" s="1">
        <v>-0.16462299999999999</v>
      </c>
      <c r="R53" s="1">
        <v>-0.16462299999999999</v>
      </c>
      <c r="S53" s="1">
        <v>5.5405000000000003E-2</v>
      </c>
      <c r="T53" s="1">
        <v>0.167043</v>
      </c>
      <c r="X53" s="1">
        <f t="shared" ref="X53:X54" si="88">J53+R53+$V$8</f>
        <v>-0.21596099999999999</v>
      </c>
      <c r="Y53" s="1">
        <f t="shared" si="84"/>
        <v>4.0670000000000012E-3</v>
      </c>
      <c r="Z53" s="1">
        <f t="shared" si="85"/>
        <v>0.115705</v>
      </c>
      <c r="AB53" s="1">
        <f t="shared" ref="AB53:AB54" si="89">MAX(0,X53)</f>
        <v>0</v>
      </c>
      <c r="AC53" s="1">
        <f t="shared" si="86"/>
        <v>4.0670000000000012E-3</v>
      </c>
      <c r="AD53" s="1">
        <f t="shared" si="87"/>
        <v>0.115705</v>
      </c>
      <c r="AH53" s="1">
        <v>0</v>
      </c>
      <c r="AI53" s="1">
        <v>-8.7961076000000029E-4</v>
      </c>
      <c r="AJ53" s="1">
        <v>-2.5024677400000001E-2</v>
      </c>
      <c r="AN53" s="1">
        <v>0</v>
      </c>
      <c r="AO53" s="1">
        <v>-9.3486908900000025E-4</v>
      </c>
      <c r="AP53" s="1">
        <v>-2.6596761234999999E-2</v>
      </c>
      <c r="AT53" s="1">
        <v>0</v>
      </c>
      <c r="AU53" s="1">
        <v>1.6390335360000005E-3</v>
      </c>
      <c r="AV53" s="1">
        <v>4.6630040639999995E-2</v>
      </c>
      <c r="AZ53" s="1">
        <v>0</v>
      </c>
      <c r="BA53" s="1">
        <v>8.7610500600000026E-4</v>
      </c>
      <c r="BB53" s="1">
        <v>2.4924939690000002E-2</v>
      </c>
      <c r="CJ53" s="1">
        <v>0</v>
      </c>
      <c r="CK53" s="1">
        <v>-6.7655358400000015E-4</v>
      </c>
      <c r="CL53" s="1">
        <v>-1.924775816E-2</v>
      </c>
      <c r="CP53" s="1">
        <v>0</v>
      </c>
      <c r="CQ53" s="1">
        <v>8.9332061700000032E-4</v>
      </c>
      <c r="CR53" s="1">
        <v>2.5414718955000002E-2</v>
      </c>
      <c r="DD53" s="6">
        <v>-0.193658</v>
      </c>
      <c r="DE53" s="6">
        <v>-9.4242000000000006E-2</v>
      </c>
      <c r="DF53" s="6">
        <v>-0.18678400000000001</v>
      </c>
      <c r="DG53" s="6">
        <v>0.12599399999999999</v>
      </c>
      <c r="DH53" s="6">
        <v>-5.8280999999999999E-2</v>
      </c>
      <c r="DI53" s="6">
        <v>4.2014999999999997E-2</v>
      </c>
      <c r="DJ53" s="6">
        <v>-0.190667</v>
      </c>
      <c r="DK53" s="6">
        <v>-0.15870699999999999</v>
      </c>
      <c r="DL53" s="6">
        <v>-7.4272000000000005E-2</v>
      </c>
      <c r="DM53" s="6">
        <v>-0.17974499999999999</v>
      </c>
      <c r="DN53" s="6">
        <v>3.3003999999999999E-2</v>
      </c>
      <c r="DO53" s="6">
        <v>0.15912100000000001</v>
      </c>
      <c r="DP53" s="6">
        <v>-0.13088</v>
      </c>
      <c r="DQ53" s="6">
        <v>0.194771</v>
      </c>
      <c r="DR53" s="6">
        <v>-0.187696</v>
      </c>
      <c r="DS53" s="6">
        <v>-0.13366700000000001</v>
      </c>
      <c r="DT53" s="6">
        <v>-4.3101E-2</v>
      </c>
      <c r="DU53" s="6">
        <v>3.1508000000000001E-2</v>
      </c>
      <c r="DW53" s="1">
        <v>-0.22996570326855201</v>
      </c>
      <c r="DY53" s="6">
        <v>5.9103999999999997E-2</v>
      </c>
      <c r="EA53" s="1">
        <f t="shared" si="19"/>
        <v>0</v>
      </c>
      <c r="EC53" s="6">
        <v>-5.3856000000000001E-2</v>
      </c>
    </row>
    <row r="54" spans="6:133" s="1" customFormat="1" ht="15" customHeight="1" x14ac:dyDescent="0.35">
      <c r="F54" s="1">
        <v>5.8833000000000003E-2</v>
      </c>
      <c r="G54" s="1">
        <v>0.15362000000000001</v>
      </c>
      <c r="H54" s="1">
        <v>0.374135</v>
      </c>
      <c r="J54" s="1">
        <v>0</v>
      </c>
      <c r="K54" s="1">
        <v>0</v>
      </c>
      <c r="L54" s="1">
        <v>0</v>
      </c>
      <c r="N54" s="1">
        <v>-0.13402600000000001</v>
      </c>
      <c r="O54" s="1">
        <v>0.27535599999999999</v>
      </c>
      <c r="P54" s="1">
        <v>0.204323</v>
      </c>
      <c r="R54" s="1">
        <v>0.160884</v>
      </c>
      <c r="S54" s="1">
        <v>0.22557099999999999</v>
      </c>
      <c r="T54" s="1">
        <v>3.7100000000000002E-4</v>
      </c>
      <c r="X54" s="1">
        <f t="shared" si="88"/>
        <v>0.109546</v>
      </c>
      <c r="Y54" s="1">
        <f t="shared" si="84"/>
        <v>0.174233</v>
      </c>
      <c r="Z54" s="1">
        <f t="shared" si="85"/>
        <v>-5.0966999999999998E-2</v>
      </c>
      <c r="AB54" s="1">
        <f t="shared" si="89"/>
        <v>0.109546</v>
      </c>
      <c r="AC54" s="1">
        <f t="shared" si="86"/>
        <v>0.174233</v>
      </c>
      <c r="AD54" s="1">
        <f t="shared" si="87"/>
        <v>0</v>
      </c>
      <c r="AH54" s="1">
        <v>-2.369260888E-2</v>
      </c>
      <c r="AI54" s="1">
        <v>-3.7683113240000003E-2</v>
      </c>
      <c r="AJ54" s="1">
        <v>0</v>
      </c>
      <c r="AN54" s="1">
        <v>-2.5181010382000001E-2</v>
      </c>
      <c r="AO54" s="1">
        <v>-4.0050417010999997E-2</v>
      </c>
      <c r="AP54" s="1">
        <v>0</v>
      </c>
      <c r="AT54" s="1">
        <v>4.4147914368000002E-2</v>
      </c>
      <c r="AU54" s="1">
        <v>7.0217292863999997E-2</v>
      </c>
      <c r="AV54" s="1">
        <v>0</v>
      </c>
      <c r="AZ54" s="1">
        <v>2.3598180228000001E-2</v>
      </c>
      <c r="BA54" s="1">
        <v>3.7532924394000002E-2</v>
      </c>
      <c r="BB54" s="1">
        <v>0</v>
      </c>
      <c r="CJ54" s="1">
        <v>-1.8223196192E-2</v>
      </c>
      <c r="CK54" s="1">
        <v>-2.8984008015999999E-2</v>
      </c>
      <c r="CL54" s="1">
        <v>0</v>
      </c>
      <c r="CP54" s="1">
        <v>2.4061888446000001E-2</v>
      </c>
      <c r="CQ54" s="1">
        <v>3.8270452683E-2</v>
      </c>
      <c r="CR54" s="1">
        <v>0</v>
      </c>
      <c r="DD54" s="6">
        <v>-3.4238999999999999E-2</v>
      </c>
      <c r="DE54" s="6">
        <v>-0.16325000000000001</v>
      </c>
      <c r="DF54" s="6">
        <v>-0.128247</v>
      </c>
      <c r="DG54" s="6">
        <v>-0.122166</v>
      </c>
      <c r="DH54" s="6">
        <v>0.14689199999999999</v>
      </c>
      <c r="DI54" s="6">
        <v>3.9317999999999999E-2</v>
      </c>
      <c r="DJ54" s="6">
        <v>-3.1884000000000003E-2</v>
      </c>
      <c r="DK54" s="6">
        <v>6.4866999999999994E-2</v>
      </c>
      <c r="DL54" s="6">
        <v>5.7000000000000003E-5</v>
      </c>
      <c r="DM54" s="6">
        <v>7.4325000000000002E-2</v>
      </c>
      <c r="DN54" s="6">
        <v>-0.21673300000000001</v>
      </c>
      <c r="DO54" s="6">
        <v>-0.18113299999999999</v>
      </c>
      <c r="DP54" s="6">
        <v>9.9773000000000001E-2</v>
      </c>
      <c r="DQ54" s="6">
        <v>0.10723100000000001</v>
      </c>
      <c r="DR54" s="6">
        <v>-2.0746000000000001E-2</v>
      </c>
      <c r="DS54" s="6">
        <v>2.1179E-2</v>
      </c>
      <c r="DT54" s="6">
        <v>0.18132899999999999</v>
      </c>
      <c r="DU54" s="6">
        <v>-0.20278499999999999</v>
      </c>
      <c r="DW54" s="1">
        <v>-6.7699600684875322E-2</v>
      </c>
      <c r="DY54" s="6">
        <v>-0.14349600000000001</v>
      </c>
      <c r="EA54" s="1">
        <f t="shared" si="19"/>
        <v>0</v>
      </c>
      <c r="EC54" s="6">
        <v>-7.7721999999999999E-2</v>
      </c>
    </row>
    <row r="55" spans="6:133" s="1" customFormat="1" ht="15" customHeight="1" x14ac:dyDescent="0.35">
      <c r="DD55" s="6">
        <v>0.17502200000000001</v>
      </c>
      <c r="DE55" s="6">
        <v>0.17239199999999999</v>
      </c>
      <c r="DF55" s="6">
        <v>-3.8006999999999999E-2</v>
      </c>
      <c r="DG55" s="6">
        <v>-9.6147999999999997E-2</v>
      </c>
      <c r="DH55" s="6">
        <v>0.153837</v>
      </c>
      <c r="DI55" s="6">
        <v>-9.4172000000000006E-2</v>
      </c>
      <c r="DJ55" s="6">
        <v>-6.2755000000000005E-2</v>
      </c>
      <c r="DK55" s="6">
        <v>2.6827E-2</v>
      </c>
      <c r="DL55" s="6">
        <v>-7.3999999999999999E-4</v>
      </c>
      <c r="DM55" s="6">
        <v>-3.4047000000000001E-2</v>
      </c>
      <c r="DN55" s="6">
        <v>0.117521</v>
      </c>
      <c r="DO55" s="6">
        <v>0.11174000000000001</v>
      </c>
      <c r="DP55" s="6">
        <v>-0.104892</v>
      </c>
      <c r="DQ55" s="6">
        <v>3.5020999999999997E-2</v>
      </c>
      <c r="DR55" s="6">
        <v>-0.17907899999999999</v>
      </c>
      <c r="DS55" s="6">
        <v>8.2294000000000006E-2</v>
      </c>
      <c r="DT55" s="6">
        <v>-7.3139999999999997E-2</v>
      </c>
      <c r="DU55" s="6">
        <v>-5.0744999999999998E-2</v>
      </c>
      <c r="DW55" s="1">
        <v>0.11235432896477741</v>
      </c>
      <c r="DY55" s="6">
        <v>0.150976</v>
      </c>
      <c r="EA55" s="1">
        <f t="shared" si="19"/>
        <v>0.26333032896477743</v>
      </c>
      <c r="EC55" s="6">
        <v>-4.8149999999999998E-2</v>
      </c>
    </row>
    <row r="56" spans="6:133" s="1" customFormat="1" ht="15" customHeight="1" x14ac:dyDescent="0.35">
      <c r="F56" s="1">
        <v>6.9497000000000003E-2</v>
      </c>
      <c r="G56" s="1">
        <v>0.15595300000000001</v>
      </c>
      <c r="H56" s="1">
        <v>4.5809999999999997E-2</v>
      </c>
      <c r="J56" s="1" cm="1">
        <f t="array" ref="J56:L58">Conv2D($B$8:$D$10,F56:H58)</f>
        <v>0</v>
      </c>
      <c r="K56" s="1">
        <v>0</v>
      </c>
      <c r="L56" s="1">
        <v>0</v>
      </c>
      <c r="N56" s="1">
        <v>-0.118391</v>
      </c>
      <c r="O56" s="1">
        <v>5.8297000000000002E-2</v>
      </c>
      <c r="P56" s="1">
        <v>0.26535799999999998</v>
      </c>
      <c r="R56" s="1" cm="1">
        <f t="array" ref="R56:T58">Conv2D($B$12:$D$14,N56:P58)</f>
        <v>0.37211100000000003</v>
      </c>
      <c r="S56" s="1">
        <v>0.28222399999999997</v>
      </c>
      <c r="T56" s="1">
        <v>-0.122914</v>
      </c>
      <c r="V56" s="1">
        <v>1.4356000000000001E-2</v>
      </c>
      <c r="X56" s="1">
        <f>J56+R56+$V$8</f>
        <v>0.32077300000000003</v>
      </c>
      <c r="Y56" s="1">
        <f t="shared" ref="Y56:Y58" si="90">K56+S56+$V$8</f>
        <v>0.23088599999999998</v>
      </c>
      <c r="Z56" s="1">
        <f t="shared" ref="Z56:Z58" si="91">L56+T56+$V$8</f>
        <v>-0.17425199999999999</v>
      </c>
      <c r="AB56" s="1">
        <f>MAX(0,X56)</f>
        <v>0.32077300000000003</v>
      </c>
      <c r="AC56" s="1">
        <f t="shared" ref="AC56:AC58" si="92">MAX(0,Y56)</f>
        <v>0.23088599999999998</v>
      </c>
      <c r="AD56" s="1">
        <f t="shared" ref="AD56:AD58" si="93">MAX(0,Z56)</f>
        <v>0</v>
      </c>
      <c r="AF56" s="1">
        <v>7.7314999999999995E-2</v>
      </c>
      <c r="AH56" s="1" cm="1">
        <f t="array" ref="AH56:AJ58">Conv($AB$56:$AD$58,AF56)</f>
        <v>2.4800564495E-2</v>
      </c>
      <c r="AI56" s="1">
        <v>1.7850951089999997E-2</v>
      </c>
      <c r="AJ56" s="1">
        <v>0</v>
      </c>
      <c r="AL56" s="1">
        <v>2.4593E-2</v>
      </c>
      <c r="AN56" s="1" cm="1">
        <f t="array" ref="AN56:AP58">Conv($AB$56:$AD$58,AL56)</f>
        <v>7.8887703890000004E-3</v>
      </c>
      <c r="AO56" s="1">
        <v>5.6781793979999995E-3</v>
      </c>
      <c r="AP56" s="1">
        <v>0</v>
      </c>
      <c r="AR56" s="1">
        <v>0.22639000000000001</v>
      </c>
      <c r="AT56" s="1" cm="1">
        <f t="array" ref="AT56:AV58">Conv($AB$56:$AD$58,AR56)</f>
        <v>7.261979947000001E-2</v>
      </c>
      <c r="AU56" s="1">
        <v>5.2270281539999998E-2</v>
      </c>
      <c r="AV56" s="1">
        <v>0</v>
      </c>
      <c r="AX56" s="1">
        <v>0.20891699999999999</v>
      </c>
      <c r="AZ56" s="1" cm="1">
        <f t="array" ref="AZ56:BB58">Conv($AB$56:$AD$58,AX56)</f>
        <v>6.7014932841000005E-2</v>
      </c>
      <c r="BA56" s="1">
        <v>4.8236010461999997E-2</v>
      </c>
      <c r="BB56" s="1">
        <v>0</v>
      </c>
      <c r="CH56" s="1">
        <v>0.256498</v>
      </c>
      <c r="CJ56" s="1" cm="1">
        <f t="array" ref="CJ56:CL58">Conv($AB$56:$AD$58,CH56)</f>
        <v>8.2277632954000007E-2</v>
      </c>
      <c r="CK56" s="1">
        <v>5.9221797227999994E-2</v>
      </c>
      <c r="CL56" s="1">
        <v>0</v>
      </c>
      <c r="CN56" s="1">
        <v>-0.22505900000000001</v>
      </c>
      <c r="CP56" s="1" cm="1">
        <f t="array" ref="CP56:CR58">Conv($AB$56:$AD$58,CN56)</f>
        <v>-7.2192850607000009E-2</v>
      </c>
      <c r="CQ56" s="1">
        <v>-5.1962972273999999E-2</v>
      </c>
      <c r="CR56" s="1">
        <v>0</v>
      </c>
      <c r="DD56" s="6">
        <v>0.18704999999999999</v>
      </c>
      <c r="DE56" s="6">
        <v>1.1497E-2</v>
      </c>
      <c r="DF56" s="6">
        <v>8.3471000000000004E-2</v>
      </c>
      <c r="DG56" s="6">
        <v>0.21283299999999999</v>
      </c>
      <c r="DH56" s="6">
        <v>7.2434999999999999E-2</v>
      </c>
      <c r="DI56" s="6">
        <v>-3.8106000000000001E-2</v>
      </c>
      <c r="DJ56" s="6">
        <v>0.25855899999999998</v>
      </c>
      <c r="DK56" s="6">
        <v>7.7114000000000002E-2</v>
      </c>
      <c r="DL56" s="6">
        <v>0.19663600000000001</v>
      </c>
      <c r="DM56" s="6">
        <v>-0.15992400000000001</v>
      </c>
      <c r="DN56" s="6">
        <v>5.8860000000000003E-2</v>
      </c>
      <c r="DO56" s="6">
        <v>-0.22367000000000001</v>
      </c>
      <c r="DP56" s="6">
        <v>-8.6734000000000006E-2</v>
      </c>
      <c r="DQ56" s="6">
        <v>-8.4857000000000002E-2</v>
      </c>
      <c r="DR56" s="6">
        <v>-0.134219</v>
      </c>
      <c r="DS56" s="6">
        <v>-0.15687100000000001</v>
      </c>
      <c r="DT56" s="6">
        <v>-0.17243</v>
      </c>
      <c r="DU56" s="6">
        <v>-5.1421000000000001E-2</v>
      </c>
      <c r="DW56" s="1">
        <v>0.31199637536906372</v>
      </c>
      <c r="DY56" s="6">
        <v>5.849E-3</v>
      </c>
      <c r="EA56" s="1">
        <f t="shared" si="19"/>
        <v>0.31784537536906371</v>
      </c>
      <c r="EC56" s="6">
        <v>-0.142236</v>
      </c>
    </row>
    <row r="57" spans="6:133" s="1" customFormat="1" ht="15" customHeight="1" x14ac:dyDescent="0.35">
      <c r="F57" s="1">
        <v>1.9879999999999998E-2</v>
      </c>
      <c r="G57" s="1">
        <v>-0.165297</v>
      </c>
      <c r="H57" s="1">
        <v>-0.178727</v>
      </c>
      <c r="J57" s="1">
        <v>0</v>
      </c>
      <c r="K57" s="1">
        <v>0</v>
      </c>
      <c r="L57" s="1">
        <v>0</v>
      </c>
      <c r="N57" s="1">
        <v>0.23039000000000001</v>
      </c>
      <c r="O57" s="1">
        <v>0.177785</v>
      </c>
      <c r="P57" s="1">
        <v>0.194217</v>
      </c>
      <c r="R57" s="1">
        <v>0.194217</v>
      </c>
      <c r="S57" s="1">
        <v>0.177785</v>
      </c>
      <c r="T57" s="1">
        <v>0.23039000000000001</v>
      </c>
      <c r="X57" s="1">
        <f t="shared" ref="X57:X58" si="94">J57+R57+$V$8</f>
        <v>0.14287900000000001</v>
      </c>
      <c r="Y57" s="1">
        <f t="shared" si="90"/>
        <v>0.126447</v>
      </c>
      <c r="Z57" s="1">
        <f t="shared" si="91"/>
        <v>0.17905200000000002</v>
      </c>
      <c r="AB57" s="1">
        <f t="shared" ref="AB57:AB58" si="95">MAX(0,X57)</f>
        <v>0.14287900000000001</v>
      </c>
      <c r="AC57" s="1">
        <f t="shared" si="92"/>
        <v>0.126447</v>
      </c>
      <c r="AD57" s="1">
        <f t="shared" si="93"/>
        <v>0.17905200000000002</v>
      </c>
      <c r="AH57" s="1">
        <v>1.1046689885000001E-2</v>
      </c>
      <c r="AI57" s="1">
        <v>9.7762498049999997E-3</v>
      </c>
      <c r="AJ57" s="1">
        <v>1.384340538E-2</v>
      </c>
      <c r="AN57" s="1">
        <v>3.513823247E-3</v>
      </c>
      <c r="AO57" s="1">
        <v>3.109711071E-3</v>
      </c>
      <c r="AP57" s="1">
        <v>4.4034258360000009E-3</v>
      </c>
      <c r="AT57" s="1">
        <v>3.2346376810000001E-2</v>
      </c>
      <c r="AU57" s="1">
        <v>2.8626336330000002E-2</v>
      </c>
      <c r="AV57" s="1">
        <v>4.0535582280000003E-2</v>
      </c>
      <c r="AZ57" s="1">
        <v>2.9849852042999999E-2</v>
      </c>
      <c r="BA57" s="1">
        <v>2.6416927898999999E-2</v>
      </c>
      <c r="BB57" s="1">
        <v>3.7407006684000002E-2</v>
      </c>
      <c r="CJ57" s="1">
        <v>3.6648177742E-2</v>
      </c>
      <c r="CK57" s="1">
        <v>3.2433402606E-2</v>
      </c>
      <c r="CL57" s="1">
        <v>4.5926479896000003E-2</v>
      </c>
      <c r="CP57" s="1">
        <v>-3.2156204861000001E-2</v>
      </c>
      <c r="CQ57" s="1">
        <v>-2.8458035373000002E-2</v>
      </c>
      <c r="CR57" s="1">
        <v>-4.0297264068000008E-2</v>
      </c>
      <c r="DD57" s="6">
        <v>0.31024000000000002</v>
      </c>
      <c r="DE57" s="6">
        <v>-3.4162999999999999E-2</v>
      </c>
      <c r="DF57" s="6">
        <v>0.26014100000000001</v>
      </c>
      <c r="DG57" s="6">
        <v>-6.5652000000000002E-2</v>
      </c>
      <c r="DH57" s="6">
        <v>0.188916</v>
      </c>
      <c r="DI57" s="6">
        <v>-0.167464</v>
      </c>
      <c r="DJ57" s="6">
        <v>-9.2471999999999999E-2</v>
      </c>
      <c r="DK57" s="6">
        <v>1.5790999999999999E-2</v>
      </c>
      <c r="DL57" s="6">
        <v>-6.8957000000000004E-2</v>
      </c>
      <c r="DM57" s="6">
        <v>-0.14079</v>
      </c>
      <c r="DN57" s="6">
        <v>6.1723E-2</v>
      </c>
      <c r="DO57" s="6">
        <v>2.5950999999999998E-2</v>
      </c>
      <c r="DP57" s="6">
        <v>2.5110000000000002E-3</v>
      </c>
      <c r="DQ57" s="6">
        <v>7.5627E-2</v>
      </c>
      <c r="DR57" s="6">
        <v>0.16331999999999999</v>
      </c>
      <c r="DS57" s="6">
        <v>-0.196545</v>
      </c>
      <c r="DT57" s="6">
        <v>-7.9298999999999994E-2</v>
      </c>
      <c r="DU57" s="6">
        <v>-8.1360000000000002E-2</v>
      </c>
      <c r="DW57" s="1">
        <v>0.16553282456363089</v>
      </c>
      <c r="DY57" s="6">
        <v>3.0936999999999999E-2</v>
      </c>
      <c r="EA57" s="1">
        <f t="shared" si="19"/>
        <v>0.19646982456363088</v>
      </c>
      <c r="EC57" s="6">
        <v>-6.8729999999999999E-2</v>
      </c>
    </row>
    <row r="58" spans="6:133" s="1" customFormat="1" ht="15" customHeight="1" x14ac:dyDescent="0.35">
      <c r="F58" s="1">
        <v>-0.13075999999999999</v>
      </c>
      <c r="G58" s="1">
        <v>7.6800000000000002E-3</v>
      </c>
      <c r="H58" s="1">
        <v>-4.4488E-2</v>
      </c>
      <c r="J58" s="1">
        <v>0</v>
      </c>
      <c r="K58" s="1">
        <v>0</v>
      </c>
      <c r="L58" s="1">
        <v>0</v>
      </c>
      <c r="N58" s="1">
        <v>-0.122914</v>
      </c>
      <c r="O58" s="1">
        <v>0.28222399999999997</v>
      </c>
      <c r="P58" s="1">
        <v>0.37211100000000003</v>
      </c>
      <c r="R58" s="1">
        <v>0.26535799999999998</v>
      </c>
      <c r="S58" s="1">
        <v>5.8297000000000002E-2</v>
      </c>
      <c r="T58" s="1">
        <v>-0.118391</v>
      </c>
      <c r="X58" s="1">
        <f t="shared" si="94"/>
        <v>0.21401999999999999</v>
      </c>
      <c r="Y58" s="1">
        <f t="shared" si="90"/>
        <v>6.9589999999999999E-3</v>
      </c>
      <c r="Z58" s="1">
        <f t="shared" si="91"/>
        <v>-0.16972899999999999</v>
      </c>
      <c r="AB58" s="1">
        <f t="shared" si="95"/>
        <v>0.21401999999999999</v>
      </c>
      <c r="AC58" s="1">
        <f t="shared" si="92"/>
        <v>6.9589999999999999E-3</v>
      </c>
      <c r="AD58" s="1">
        <f t="shared" si="93"/>
        <v>0</v>
      </c>
      <c r="AH58" s="1">
        <v>1.6546956299999999E-2</v>
      </c>
      <c r="AI58" s="1">
        <v>5.3803508499999995E-4</v>
      </c>
      <c r="AJ58" s="1">
        <v>0</v>
      </c>
      <c r="AN58" s="1">
        <v>5.2633938599999999E-3</v>
      </c>
      <c r="AO58" s="1">
        <v>1.7114268699999999E-4</v>
      </c>
      <c r="AP58" s="1">
        <v>0</v>
      </c>
      <c r="AT58" s="1">
        <v>4.8451987799999999E-2</v>
      </c>
      <c r="AU58" s="1">
        <v>1.5754480100000001E-3</v>
      </c>
      <c r="AV58" s="1">
        <v>0</v>
      </c>
      <c r="AZ58" s="1">
        <v>4.4712416339999998E-2</v>
      </c>
      <c r="BA58" s="1">
        <v>1.4538534029999999E-3</v>
      </c>
      <c r="BB58" s="1">
        <v>0</v>
      </c>
      <c r="CJ58" s="1">
        <v>5.4895701959999994E-2</v>
      </c>
      <c r="CK58" s="1">
        <v>1.784969582E-3</v>
      </c>
      <c r="CL58" s="1">
        <v>0</v>
      </c>
      <c r="CP58" s="1">
        <v>-4.8167127179999998E-2</v>
      </c>
      <c r="CQ58" s="1">
        <v>-1.5661855809999999E-3</v>
      </c>
      <c r="CR58" s="1">
        <v>0</v>
      </c>
      <c r="DD58" s="6">
        <v>0.15498500000000001</v>
      </c>
      <c r="DE58" s="6">
        <v>0.19159300000000001</v>
      </c>
      <c r="DF58" s="6">
        <v>-0.14946899999999999</v>
      </c>
      <c r="DG58" s="6">
        <v>9.5677999999999999E-2</v>
      </c>
      <c r="DH58" s="6">
        <v>0.22082199999999999</v>
      </c>
      <c r="DI58" s="6">
        <v>5.1907000000000002E-2</v>
      </c>
      <c r="DJ58" s="6">
        <v>5.6357999999999998E-2</v>
      </c>
      <c r="DK58" s="6">
        <v>0.19087999999999999</v>
      </c>
      <c r="DL58" s="6">
        <v>-6.0942000000000003E-2</v>
      </c>
      <c r="DM58" s="6">
        <v>9.9948999999999996E-2</v>
      </c>
      <c r="DN58" s="6">
        <v>6.7097000000000004E-2</v>
      </c>
      <c r="DO58" s="6">
        <v>-6.9845000000000004E-2</v>
      </c>
      <c r="DP58" s="6">
        <v>-0.19023200000000001</v>
      </c>
      <c r="DQ58" s="6">
        <v>-0.15684400000000001</v>
      </c>
      <c r="DR58" s="6">
        <v>-0.27741300000000002</v>
      </c>
      <c r="DS58" s="6">
        <v>8.7519999999999994E-3</v>
      </c>
      <c r="DT58" s="6">
        <v>0.17649300000000001</v>
      </c>
      <c r="DU58" s="6">
        <v>-7.9786999999999997E-2</v>
      </c>
      <c r="DW58" s="1">
        <v>0.23639638539665553</v>
      </c>
      <c r="DY58" s="6">
        <v>-0.13905300000000001</v>
      </c>
      <c r="EA58" s="1">
        <f t="shared" si="19"/>
        <v>9.7343385396655518E-2</v>
      </c>
      <c r="EC58" s="6">
        <v>-2.7718E-2</v>
      </c>
    </row>
    <row r="59" spans="6:133" s="1" customFormat="1" ht="15" customHeight="1" x14ac:dyDescent="0.35">
      <c r="DD59" s="6">
        <v>0.17108300000000001</v>
      </c>
      <c r="DE59" s="6">
        <v>0.14848500000000001</v>
      </c>
      <c r="DF59" s="6">
        <v>0.16883799999999999</v>
      </c>
      <c r="DG59" s="6">
        <v>2.4320999999999999E-2</v>
      </c>
      <c r="DH59" s="6">
        <v>1.9481999999999999E-2</v>
      </c>
      <c r="DI59" s="6">
        <v>0.17059299999999999</v>
      </c>
      <c r="DJ59" s="6">
        <v>8.2456000000000002E-2</v>
      </c>
      <c r="DK59" s="6">
        <v>-6.0741000000000003E-2</v>
      </c>
      <c r="DL59" s="6">
        <v>0.22459200000000001</v>
      </c>
      <c r="DM59" s="6">
        <v>9.1E-4</v>
      </c>
      <c r="DN59" s="6">
        <v>0.21612400000000001</v>
      </c>
      <c r="DO59" s="6">
        <v>0.215476</v>
      </c>
      <c r="DP59" s="6">
        <v>-5.5227999999999999E-2</v>
      </c>
      <c r="DQ59" s="6">
        <v>0.13125400000000001</v>
      </c>
      <c r="DR59" s="6">
        <v>8.9405999999999999E-2</v>
      </c>
      <c r="DS59" s="6">
        <v>5.1115000000000001E-2</v>
      </c>
      <c r="DT59" s="6">
        <v>0.20308899999999999</v>
      </c>
      <c r="DU59" s="6">
        <v>-0.13313900000000001</v>
      </c>
      <c r="DW59" s="1">
        <v>0.28737387971361961</v>
      </c>
      <c r="DY59" s="6">
        <v>-3.6294E-2</v>
      </c>
      <c r="EA59" s="1">
        <f t="shared" si="19"/>
        <v>0.25107987971361961</v>
      </c>
      <c r="EC59" s="6">
        <v>6.4019999999999994E-2</v>
      </c>
    </row>
    <row r="60" spans="6:133" s="1" customFormat="1" ht="15" customHeight="1" x14ac:dyDescent="0.35">
      <c r="F60" s="1">
        <v>-9.8566000000000001E-2</v>
      </c>
      <c r="G60" s="1">
        <v>0.16298099999999999</v>
      </c>
      <c r="H60" s="1">
        <v>0.26077099999999998</v>
      </c>
      <c r="J60" s="1" cm="1">
        <f t="array" ref="J60:L62">Conv2D($B$8:$D$10,F60:H62)</f>
        <v>0</v>
      </c>
      <c r="K60" s="1">
        <v>0</v>
      </c>
      <c r="L60" s="1">
        <v>0</v>
      </c>
      <c r="N60" s="1">
        <v>-0.179309</v>
      </c>
      <c r="O60" s="1">
        <v>0.31136999999999998</v>
      </c>
      <c r="P60" s="1">
        <v>-0.167131</v>
      </c>
      <c r="R60" s="1" cm="1">
        <f t="array" ref="R60:T62">Conv2D($B$12:$D$14,N60:P62)</f>
        <v>-0.131109</v>
      </c>
      <c r="S60" s="1">
        <v>0.29893500000000001</v>
      </c>
      <c r="T60" s="1">
        <v>-0.217115</v>
      </c>
      <c r="V60" s="1">
        <v>8.2349999999999993E-3</v>
      </c>
      <c r="X60" s="1">
        <f>J60+R60+$V$8</f>
        <v>-0.182447</v>
      </c>
      <c r="Y60" s="1">
        <f t="shared" ref="Y60:Y62" si="96">K60+S60+$V$8</f>
        <v>0.24759700000000001</v>
      </c>
      <c r="Z60" s="1">
        <f t="shared" ref="Z60:Z62" si="97">L60+T60+$V$8</f>
        <v>-0.268453</v>
      </c>
      <c r="AB60" s="1">
        <f>MAX(0,X60)</f>
        <v>0</v>
      </c>
      <c r="AC60" s="1">
        <f t="shared" ref="AC60:AC62" si="98">MAX(0,Y60)</f>
        <v>0.24759700000000001</v>
      </c>
      <c r="AD60" s="1">
        <f t="shared" ref="AD60:AD62" si="99">MAX(0,Z60)</f>
        <v>0</v>
      </c>
      <c r="AF60" s="1">
        <v>6.306E-3</v>
      </c>
      <c r="AH60" s="1" cm="1">
        <f t="array" ref="AH60:AJ62">Conv($AB$60:$AD$62,AF60)</f>
        <v>0</v>
      </c>
      <c r="AI60" s="1">
        <v>1.561346682E-3</v>
      </c>
      <c r="AJ60" s="1">
        <v>0</v>
      </c>
      <c r="AL60" s="1">
        <v>3.5770999999999997E-2</v>
      </c>
      <c r="AN60" s="1" cm="1">
        <f t="array" ref="AN60:AP62">Conv($AB$60:$AD$62,AL60)</f>
        <v>0</v>
      </c>
      <c r="AO60" s="1">
        <v>8.8567922869999989E-3</v>
      </c>
      <c r="AP60" s="1">
        <v>0</v>
      </c>
      <c r="AR60" s="1">
        <v>0.37467800000000001</v>
      </c>
      <c r="AT60" s="1" cm="1">
        <f t="array" ref="AT60:AV62">Conv($AB$60:$AD$62,AR60)</f>
        <v>0</v>
      </c>
      <c r="AU60" s="1">
        <v>9.2769148766000009E-2</v>
      </c>
      <c r="AV60" s="1">
        <v>0</v>
      </c>
      <c r="AX60" s="1">
        <v>6.3139000000000001E-2</v>
      </c>
      <c r="AZ60" s="1" cm="1">
        <f t="array" ref="AZ60:BB62">Conv($AB$60:$AD$62,AX60)</f>
        <v>0</v>
      </c>
      <c r="BA60" s="1">
        <v>1.5633026983000002E-2</v>
      </c>
      <c r="BB60" s="1">
        <v>0</v>
      </c>
      <c r="CH60" s="1">
        <v>-0.27224900000000002</v>
      </c>
      <c r="CJ60" s="1" cm="1">
        <f t="array" ref="CJ60:CL62">Conv($AB$60:$AD$62,CH60)</f>
        <v>0</v>
      </c>
      <c r="CK60" s="1">
        <v>-6.7408035653000006E-2</v>
      </c>
      <c r="CL60" s="1">
        <v>0</v>
      </c>
      <c r="CN60" s="1">
        <v>-5.4204000000000002E-2</v>
      </c>
      <c r="CP60" s="1" cm="1">
        <f t="array" ref="CP60:CR62">Conv($AB$60:$AD$62,CN60)</f>
        <v>0</v>
      </c>
      <c r="CQ60" s="1">
        <v>-1.3420747788000001E-2</v>
      </c>
      <c r="CR60" s="1">
        <v>0</v>
      </c>
      <c r="DD60" s="6">
        <v>-6.2630000000000005E-2</v>
      </c>
      <c r="DE60" s="6">
        <v>-7.2116E-2</v>
      </c>
      <c r="DF60" s="6">
        <v>-6.1175E-2</v>
      </c>
      <c r="DG60" s="6">
        <v>0.21742</v>
      </c>
      <c r="DH60" s="6">
        <v>8.5106000000000001E-2</v>
      </c>
      <c r="DI60" s="6">
        <v>-0.19312699999999999</v>
      </c>
      <c r="DJ60" s="6">
        <v>0.110276</v>
      </c>
      <c r="DK60" s="6">
        <v>8.2185999999999995E-2</v>
      </c>
      <c r="DL60" s="6">
        <v>-2.9034999999999998E-2</v>
      </c>
      <c r="DM60" s="6">
        <v>-0.248499</v>
      </c>
      <c r="DN60" s="6">
        <v>-0.24235999999999999</v>
      </c>
      <c r="DO60" s="6">
        <v>3.2391999999999997E-2</v>
      </c>
      <c r="DP60" s="6">
        <v>-6.3754000000000005E-2</v>
      </c>
      <c r="DQ60" s="6">
        <v>-6.424E-3</v>
      </c>
      <c r="DR60" s="6">
        <v>0.205822</v>
      </c>
      <c r="DS60" s="6">
        <v>-0.23400000000000001</v>
      </c>
      <c r="DT60" s="6">
        <v>6.3597000000000001E-2</v>
      </c>
      <c r="DU60" s="6">
        <v>-0.19661799999999999</v>
      </c>
      <c r="DW60" s="1">
        <v>1.8024114615046393E-2</v>
      </c>
      <c r="DY60" s="6">
        <v>6.0486999999999999E-2</v>
      </c>
      <c r="EA60" s="1">
        <f t="shared" si="19"/>
        <v>7.8511114615046396E-2</v>
      </c>
      <c r="EC60" s="6">
        <v>-0.143404</v>
      </c>
    </row>
    <row r="61" spans="6:133" s="1" customFormat="1" ht="15" customHeight="1" x14ac:dyDescent="0.35">
      <c r="F61" s="1">
        <v>-6.8406999999999996E-2</v>
      </c>
      <c r="G61" s="1">
        <v>0.28489100000000001</v>
      </c>
      <c r="H61" s="1">
        <v>-0.113065</v>
      </c>
      <c r="J61" s="1">
        <v>0</v>
      </c>
      <c r="K61" s="1">
        <v>0</v>
      </c>
      <c r="L61" s="1">
        <v>0</v>
      </c>
      <c r="N61" s="1">
        <v>-9.2207999999999998E-2</v>
      </c>
      <c r="O61" s="1">
        <v>-5.0903999999999998E-2</v>
      </c>
      <c r="P61" s="1">
        <v>0.125833</v>
      </c>
      <c r="R61" s="1">
        <v>0.125833</v>
      </c>
      <c r="S61" s="1">
        <v>-5.0903999999999998E-2</v>
      </c>
      <c r="T61" s="1">
        <v>-9.2207999999999998E-2</v>
      </c>
      <c r="X61" s="1">
        <f t="shared" ref="X61:X62" si="100">J61+R61+$V$8</f>
        <v>7.4495000000000006E-2</v>
      </c>
      <c r="Y61" s="1">
        <f t="shared" si="96"/>
        <v>-0.102242</v>
      </c>
      <c r="Z61" s="1">
        <f t="shared" si="97"/>
        <v>-0.14354600000000001</v>
      </c>
      <c r="AB61" s="1">
        <f t="shared" ref="AB61:AB62" si="101">MAX(0,X61)</f>
        <v>7.4495000000000006E-2</v>
      </c>
      <c r="AC61" s="1">
        <f t="shared" si="98"/>
        <v>0</v>
      </c>
      <c r="AD61" s="1">
        <f t="shared" si="99"/>
        <v>0</v>
      </c>
      <c r="AH61" s="1">
        <v>4.6976547000000005E-4</v>
      </c>
      <c r="AI61" s="1">
        <v>0</v>
      </c>
      <c r="AJ61" s="1">
        <v>0</v>
      </c>
      <c r="AN61" s="1">
        <v>2.664760645E-3</v>
      </c>
      <c r="AO61" s="1">
        <v>0</v>
      </c>
      <c r="AP61" s="1">
        <v>0</v>
      </c>
      <c r="AT61" s="1">
        <v>2.7911637610000001E-2</v>
      </c>
      <c r="AU61" s="1">
        <v>0</v>
      </c>
      <c r="AV61" s="1">
        <v>0</v>
      </c>
      <c r="AZ61" s="1">
        <v>4.7035398050000003E-3</v>
      </c>
      <c r="BA61" s="1">
        <v>0</v>
      </c>
      <c r="BB61" s="1">
        <v>0</v>
      </c>
      <c r="CJ61" s="1">
        <v>-2.0281189255000002E-2</v>
      </c>
      <c r="CK61" s="1">
        <v>0</v>
      </c>
      <c r="CL61" s="1">
        <v>0</v>
      </c>
      <c r="CP61" s="1">
        <v>-4.0379269800000003E-3</v>
      </c>
      <c r="CQ61" s="1">
        <v>0</v>
      </c>
      <c r="CR61" s="1">
        <v>0</v>
      </c>
      <c r="DD61" s="6">
        <v>-4.6854E-2</v>
      </c>
      <c r="DE61" s="6">
        <v>-0.20088800000000001</v>
      </c>
      <c r="DF61" s="6">
        <v>-0.201678</v>
      </c>
      <c r="DG61" s="6">
        <v>-8.6860999999999994E-2</v>
      </c>
      <c r="DH61" s="6">
        <v>4.9139000000000002E-2</v>
      </c>
      <c r="DI61" s="6">
        <v>-0.17202999999999999</v>
      </c>
      <c r="DJ61" s="6">
        <v>3.7643999999999997E-2</v>
      </c>
      <c r="DK61" s="6">
        <v>-0.114137</v>
      </c>
      <c r="DL61" s="6">
        <v>6.5866999999999995E-2</v>
      </c>
      <c r="DM61" s="6">
        <v>4.3506000000000003E-2</v>
      </c>
      <c r="DN61" s="6">
        <v>-7.7549999999999997E-3</v>
      </c>
      <c r="DO61" s="6">
        <v>9.5929E-2</v>
      </c>
      <c r="DP61" s="6">
        <v>-9.1109999999999997E-2</v>
      </c>
      <c r="DQ61" s="6">
        <v>0.17057700000000001</v>
      </c>
      <c r="DR61" s="6">
        <v>-0.12754799999999999</v>
      </c>
      <c r="DS61" s="6">
        <v>-0.223716</v>
      </c>
      <c r="DT61" s="6">
        <v>0.116424</v>
      </c>
      <c r="DU61" s="6">
        <v>-0.14447499999999999</v>
      </c>
      <c r="DW61" s="1">
        <v>-0.14825624325187473</v>
      </c>
      <c r="DY61" s="6">
        <v>-3.9038999999999997E-2</v>
      </c>
      <c r="EA61" s="1">
        <f t="shared" si="19"/>
        <v>0</v>
      </c>
      <c r="EC61" s="6">
        <v>5.2970000000000003E-2</v>
      </c>
    </row>
    <row r="62" spans="6:133" s="1" customFormat="1" ht="15" customHeight="1" x14ac:dyDescent="0.35">
      <c r="F62" s="1">
        <v>4.5425E-2</v>
      </c>
      <c r="G62" s="1">
        <v>-0.102813</v>
      </c>
      <c r="H62" s="1">
        <v>0.189609</v>
      </c>
      <c r="J62" s="1">
        <v>0</v>
      </c>
      <c r="K62" s="1">
        <v>0</v>
      </c>
      <c r="L62" s="1">
        <v>0</v>
      </c>
      <c r="N62" s="1">
        <v>-0.217115</v>
      </c>
      <c r="O62" s="1">
        <v>0.29893500000000001</v>
      </c>
      <c r="P62" s="1">
        <v>-0.131109</v>
      </c>
      <c r="R62" s="1">
        <v>-0.167131</v>
      </c>
      <c r="S62" s="1">
        <v>0.31136999999999998</v>
      </c>
      <c r="T62" s="1">
        <v>-0.179309</v>
      </c>
      <c r="X62" s="1">
        <f t="shared" si="100"/>
        <v>-0.218469</v>
      </c>
      <c r="Y62" s="1">
        <f t="shared" si="96"/>
        <v>0.26003199999999999</v>
      </c>
      <c r="Z62" s="1">
        <f t="shared" si="97"/>
        <v>-0.23064699999999999</v>
      </c>
      <c r="AB62" s="1">
        <f t="shared" si="101"/>
        <v>0</v>
      </c>
      <c r="AC62" s="1">
        <f t="shared" si="98"/>
        <v>0.26003199999999999</v>
      </c>
      <c r="AD62" s="1">
        <f t="shared" si="99"/>
        <v>0</v>
      </c>
      <c r="AH62" s="1">
        <v>0</v>
      </c>
      <c r="AI62" s="1">
        <v>1.6397617919999999E-3</v>
      </c>
      <c r="AJ62" s="1">
        <v>0</v>
      </c>
      <c r="AN62" s="1">
        <v>0</v>
      </c>
      <c r="AO62" s="1">
        <v>9.3016046719999988E-3</v>
      </c>
      <c r="AP62" s="1">
        <v>0</v>
      </c>
      <c r="AT62" s="1">
        <v>0</v>
      </c>
      <c r="AU62" s="1">
        <v>9.7428269695999992E-2</v>
      </c>
      <c r="AV62" s="1">
        <v>0</v>
      </c>
      <c r="AZ62" s="1">
        <v>0</v>
      </c>
      <c r="BA62" s="1">
        <v>1.6418160447999999E-2</v>
      </c>
      <c r="BB62" s="1">
        <v>0</v>
      </c>
      <c r="CJ62" s="1">
        <v>0</v>
      </c>
      <c r="CK62" s="1">
        <v>-7.0793451968000007E-2</v>
      </c>
      <c r="CL62" s="1">
        <v>0</v>
      </c>
      <c r="CP62" s="1">
        <v>0</v>
      </c>
      <c r="CQ62" s="1">
        <v>-1.4094774528000001E-2</v>
      </c>
      <c r="CR62" s="1">
        <v>0</v>
      </c>
      <c r="DD62" s="6">
        <v>-0.26088699999999998</v>
      </c>
      <c r="DE62" s="6">
        <v>0.120438</v>
      </c>
      <c r="DF62" s="6">
        <v>-0.154582</v>
      </c>
      <c r="DG62" s="6">
        <v>-0.14868700000000001</v>
      </c>
      <c r="DH62" s="6">
        <v>7.5902999999999998E-2</v>
      </c>
      <c r="DI62" s="6">
        <v>-3.2109999999999999E-3</v>
      </c>
      <c r="DJ62" s="6">
        <v>-2.7817999999999999E-2</v>
      </c>
      <c r="DK62" s="6">
        <v>0.14501700000000001</v>
      </c>
      <c r="DL62" s="6">
        <v>0.157717</v>
      </c>
      <c r="DM62" s="6">
        <v>0.172768</v>
      </c>
      <c r="DN62" s="6">
        <v>4.8867000000000001E-2</v>
      </c>
      <c r="DO62" s="6">
        <v>-8.9497999999999994E-2</v>
      </c>
      <c r="DP62" s="6">
        <v>3.9119999999999997E-3</v>
      </c>
      <c r="DQ62" s="6">
        <v>-0.19258500000000001</v>
      </c>
      <c r="DR62" s="6">
        <v>0.25538300000000003</v>
      </c>
      <c r="DS62" s="6">
        <v>0.10018199999999999</v>
      </c>
      <c r="DT62" s="6">
        <v>-6.1971999999999999E-2</v>
      </c>
      <c r="DU62" s="6">
        <v>-0.19911599999999999</v>
      </c>
      <c r="DW62" s="1">
        <v>-8.8464178754541017E-2</v>
      </c>
      <c r="DY62" s="6">
        <v>0.18362899999999999</v>
      </c>
      <c r="EA62" s="1">
        <f t="shared" si="19"/>
        <v>9.5164821245458969E-2</v>
      </c>
      <c r="EC62" s="6">
        <v>0.12983600000000001</v>
      </c>
    </row>
    <row r="63" spans="6:133" s="1" customFormat="1" ht="15" customHeight="1" x14ac:dyDescent="0.35">
      <c r="DD63" s="6">
        <v>-7.9729999999999995E-2</v>
      </c>
      <c r="DE63" s="6">
        <v>-2.6935000000000001E-2</v>
      </c>
      <c r="DF63" s="6">
        <v>-0.238399</v>
      </c>
      <c r="DG63" s="6">
        <v>-0.14221400000000001</v>
      </c>
      <c r="DH63" s="6">
        <v>0.199574</v>
      </c>
      <c r="DI63" s="6">
        <v>0.20997399999999999</v>
      </c>
      <c r="DJ63" s="6">
        <v>-0.231407</v>
      </c>
      <c r="DK63" s="6">
        <v>0.13192599999999999</v>
      </c>
      <c r="DL63" s="6">
        <v>-1.3537E-2</v>
      </c>
      <c r="DM63" s="6">
        <v>-3.2412999999999997E-2</v>
      </c>
      <c r="DN63" s="6">
        <v>5.3046000000000003E-2</v>
      </c>
      <c r="DO63" s="6">
        <v>-0.12767000000000001</v>
      </c>
      <c r="DP63" s="6">
        <v>7.9181000000000001E-2</v>
      </c>
      <c r="DQ63" s="6">
        <v>0.12604199999999999</v>
      </c>
      <c r="DR63" s="6">
        <v>7.4268000000000001E-2</v>
      </c>
      <c r="DS63" s="6">
        <v>-3.2030999999999997E-2</v>
      </c>
      <c r="DT63" s="6">
        <v>-3.9987000000000002E-2</v>
      </c>
      <c r="DU63" s="6">
        <v>0.133992</v>
      </c>
      <c r="DW63" s="1">
        <v>-5.375995421408835E-2</v>
      </c>
      <c r="DY63" s="6">
        <v>0.14557</v>
      </c>
      <c r="EA63" s="1">
        <f t="shared" si="19"/>
        <v>9.1810045785911648E-2</v>
      </c>
      <c r="EC63" s="6">
        <v>4.616E-2</v>
      </c>
    </row>
    <row r="64" spans="6:133" s="1" customFormat="1" ht="15" customHeight="1" x14ac:dyDescent="0.35">
      <c r="F64" s="1">
        <v>-1.5502E-2</v>
      </c>
      <c r="G64" s="1">
        <v>-0.159637</v>
      </c>
      <c r="H64" s="1">
        <v>4.9078999999999998E-2</v>
      </c>
      <c r="J64" s="1" cm="1">
        <f t="array" ref="J64:L66">Conv2D($B$8:$D$10,F64:H66)</f>
        <v>0</v>
      </c>
      <c r="K64" s="1">
        <v>0</v>
      </c>
      <c r="L64" s="1">
        <v>0</v>
      </c>
      <c r="N64" s="1">
        <v>7.7567999999999998E-2</v>
      </c>
      <c r="O64" s="1">
        <v>0.25699699999999998</v>
      </c>
      <c r="P64" s="1">
        <v>0.15499299999999999</v>
      </c>
      <c r="R64" s="1" cm="1">
        <f t="array" ref="R64:T66">Conv2D($B$12:$D$14,N64:P66)</f>
        <v>0.177534</v>
      </c>
      <c r="S64" s="1">
        <v>9.3651999999999999E-2</v>
      </c>
      <c r="T64" s="1">
        <v>0.15964300000000001</v>
      </c>
      <c r="V64" s="1">
        <v>9.7484000000000001E-2</v>
      </c>
      <c r="X64" s="1">
        <f>J64+R64+$V$8</f>
        <v>0.126196</v>
      </c>
      <c r="Y64" s="1">
        <f t="shared" ref="Y64:Y66" si="102">K64+S64+$V$8</f>
        <v>4.2313999999999997E-2</v>
      </c>
      <c r="Z64" s="1">
        <f t="shared" ref="Z64:Z66" si="103">L64+T64+$V$8</f>
        <v>0.10830500000000001</v>
      </c>
      <c r="AB64" s="1">
        <f>MAX(0,X64)</f>
        <v>0.126196</v>
      </c>
      <c r="AC64" s="1">
        <f t="shared" ref="AC64:AC66" si="104">MAX(0,Y64)</f>
        <v>4.2313999999999997E-2</v>
      </c>
      <c r="AD64" s="1">
        <f t="shared" ref="AD64:AD66" si="105">MAX(0,Z64)</f>
        <v>0.10830500000000001</v>
      </c>
      <c r="AF64" s="1">
        <v>2.333E-2</v>
      </c>
      <c r="AH64" s="1" cm="1">
        <f t="array" ref="AH64:AJ66">Conv($AB$64:$AD$66,AF64)</f>
        <v>2.9441526800000001E-3</v>
      </c>
      <c r="AI64" s="1">
        <v>9.8718561999999992E-4</v>
      </c>
      <c r="AJ64" s="1">
        <v>2.5267556500000003E-3</v>
      </c>
      <c r="AL64" s="1">
        <v>0.233686</v>
      </c>
      <c r="AN64" s="1" cm="1">
        <f t="array" ref="AN64:AP66">Conv($AB$64:$AD$66,AL64)</f>
        <v>2.9490238456E-2</v>
      </c>
      <c r="AO64" s="1">
        <v>9.8881894040000005E-3</v>
      </c>
      <c r="AP64" s="1">
        <v>2.5309362230000004E-2</v>
      </c>
      <c r="AR64" s="1">
        <v>2.8170000000000001E-3</v>
      </c>
      <c r="AT64" s="1" cm="1">
        <f t="array" ref="AT64:AV66">Conv($AB$64:$AD$66,AR64)</f>
        <v>3.55494132E-4</v>
      </c>
      <c r="AU64" s="1">
        <v>1.19198538E-4</v>
      </c>
      <c r="AV64" s="1">
        <v>3.0509518500000004E-4</v>
      </c>
      <c r="AX64" s="1">
        <v>0.13805400000000001</v>
      </c>
      <c r="AZ64" s="1" cm="1">
        <f t="array" ref="AZ64:BB66">Conv($AB$64:$AD$66,AX64)</f>
        <v>1.7421862584000001E-2</v>
      </c>
      <c r="BA64" s="1">
        <v>5.8416169559999996E-3</v>
      </c>
      <c r="BB64" s="1">
        <v>1.4951938470000002E-2</v>
      </c>
      <c r="CH64" s="1">
        <v>-0.143257</v>
      </c>
      <c r="CJ64" s="1" cm="1">
        <f t="array" ref="CJ64:CL66">Conv($AB$64:$AD$66,CH64)</f>
        <v>-1.8078460372000001E-2</v>
      </c>
      <c r="CK64" s="1">
        <v>-6.0617766979999994E-3</v>
      </c>
      <c r="CL64" s="1">
        <v>-1.5515449385000001E-2</v>
      </c>
      <c r="CN64" s="1">
        <v>-0.308784</v>
      </c>
      <c r="CP64" s="1" cm="1">
        <f t="array" ref="CP64:CR66">Conv($AB$64:$AD$66,CN64)</f>
        <v>-3.8967305664000002E-2</v>
      </c>
      <c r="CQ64" s="1">
        <v>-1.3065886176E-2</v>
      </c>
      <c r="CR64" s="1">
        <v>-3.3442851120000006E-2</v>
      </c>
      <c r="DD64" s="6">
        <v>-3.0275E-2</v>
      </c>
      <c r="DE64" s="6">
        <v>-0.16887099999999999</v>
      </c>
      <c r="DF64" s="6">
        <v>-0.194552</v>
      </c>
      <c r="DG64" s="6">
        <v>-7.4300000000000005E-2</v>
      </c>
      <c r="DH64" s="6">
        <v>-0.135653</v>
      </c>
      <c r="DI64" s="6">
        <v>6.6878999999999994E-2</v>
      </c>
      <c r="DJ64" s="6">
        <v>-0.19130800000000001</v>
      </c>
      <c r="DK64" s="6">
        <v>-0.224496</v>
      </c>
      <c r="DL64" s="6">
        <v>-0.22631899999999999</v>
      </c>
      <c r="DM64" s="6">
        <v>-2.7390999999999999E-2</v>
      </c>
      <c r="DN64" s="6">
        <v>0.112411</v>
      </c>
      <c r="DO64" s="6">
        <v>0.20613600000000001</v>
      </c>
      <c r="DP64" s="6">
        <v>0.215334</v>
      </c>
      <c r="DQ64" s="6">
        <v>-0.15643000000000001</v>
      </c>
      <c r="DR64" s="6">
        <v>-0.105764</v>
      </c>
      <c r="DS64" s="6">
        <v>-0.19851199999999999</v>
      </c>
      <c r="DT64" s="6">
        <v>4.8219999999999999E-2</v>
      </c>
      <c r="DU64" s="6">
        <v>8.6045999999999997E-2</v>
      </c>
      <c r="DW64" s="1">
        <v>-0.29340769785843696</v>
      </c>
      <c r="DY64" s="6">
        <v>0.120725</v>
      </c>
      <c r="EA64" s="1">
        <f t="shared" si="19"/>
        <v>0</v>
      </c>
      <c r="EC64" s="6">
        <v>1.7340000000000001E-3</v>
      </c>
    </row>
    <row r="65" spans="6:133" s="1" customFormat="1" ht="15" customHeight="1" x14ac:dyDescent="0.35">
      <c r="F65" s="1">
        <v>-1.0385E-2</v>
      </c>
      <c r="G65" s="1">
        <v>-0.112645</v>
      </c>
      <c r="H65" s="1">
        <v>-0.25099199999999999</v>
      </c>
      <c r="J65" s="1">
        <v>0</v>
      </c>
      <c r="K65" s="1">
        <v>0</v>
      </c>
      <c r="L65" s="1">
        <v>0</v>
      </c>
      <c r="N65" s="1">
        <v>0.13968700000000001</v>
      </c>
      <c r="O65" s="1">
        <v>-3.2384000000000003E-2</v>
      </c>
      <c r="P65" s="1">
        <v>0.24285200000000001</v>
      </c>
      <c r="R65" s="1">
        <v>0.24285200000000001</v>
      </c>
      <c r="S65" s="1">
        <v>-3.2384000000000003E-2</v>
      </c>
      <c r="T65" s="1">
        <v>0.13968700000000001</v>
      </c>
      <c r="X65" s="1">
        <f t="shared" ref="X65:X66" si="106">J65+R65+$V$8</f>
        <v>0.19151400000000002</v>
      </c>
      <c r="Y65" s="1">
        <f t="shared" si="102"/>
        <v>-8.3722000000000005E-2</v>
      </c>
      <c r="Z65" s="1">
        <f t="shared" si="103"/>
        <v>8.8349000000000011E-2</v>
      </c>
      <c r="AB65" s="1">
        <f t="shared" ref="AB65:AB66" si="107">MAX(0,X65)</f>
        <v>0.19151400000000002</v>
      </c>
      <c r="AC65" s="1">
        <f t="shared" si="104"/>
        <v>0</v>
      </c>
      <c r="AD65" s="1">
        <f t="shared" si="105"/>
        <v>8.8349000000000011E-2</v>
      </c>
      <c r="AH65" s="1">
        <v>4.4680216200000001E-3</v>
      </c>
      <c r="AI65" s="1">
        <v>0</v>
      </c>
      <c r="AJ65" s="1">
        <v>2.0611821700000001E-3</v>
      </c>
      <c r="AN65" s="1">
        <v>4.4754140604000008E-2</v>
      </c>
      <c r="AO65" s="1">
        <v>0</v>
      </c>
      <c r="AP65" s="1">
        <v>2.0645924414000004E-2</v>
      </c>
      <c r="AT65" s="1">
        <v>5.3949493800000011E-4</v>
      </c>
      <c r="AU65" s="1">
        <v>0</v>
      </c>
      <c r="AV65" s="1">
        <v>2.4887913300000004E-4</v>
      </c>
      <c r="AZ65" s="1">
        <v>2.6439273756000005E-2</v>
      </c>
      <c r="BA65" s="1">
        <v>0</v>
      </c>
      <c r="BB65" s="1">
        <v>1.2196932846000002E-2</v>
      </c>
      <c r="CJ65" s="1">
        <v>-2.7435721098E-2</v>
      </c>
      <c r="CK65" s="1">
        <v>0</v>
      </c>
      <c r="CL65" s="1">
        <v>-1.2656612693000001E-2</v>
      </c>
      <c r="CP65" s="1">
        <v>-5.9136458976000006E-2</v>
      </c>
      <c r="CQ65" s="1">
        <v>0</v>
      </c>
      <c r="CR65" s="1">
        <v>-2.7280757616000004E-2</v>
      </c>
      <c r="DD65" s="6">
        <v>-0.20028299999999999</v>
      </c>
      <c r="DE65" s="6">
        <v>-0.139906</v>
      </c>
      <c r="DF65" s="6">
        <v>0.21956700000000001</v>
      </c>
      <c r="DG65" s="6">
        <v>-0.112123</v>
      </c>
      <c r="DH65" s="6">
        <v>-9.0279999999999999E-2</v>
      </c>
      <c r="DI65" s="6">
        <v>0.26802199999999998</v>
      </c>
      <c r="DJ65" s="6">
        <v>-0.19469700000000001</v>
      </c>
      <c r="DK65" s="6">
        <v>0.26515300000000003</v>
      </c>
      <c r="DL65" s="6">
        <v>-5.2339999999999998E-2</v>
      </c>
      <c r="DM65" s="6">
        <v>0.184528</v>
      </c>
      <c r="DN65" s="6">
        <v>-0.12914</v>
      </c>
      <c r="DO65" s="6">
        <v>-9.0048000000000003E-2</v>
      </c>
      <c r="DP65" s="6">
        <v>0.25600699999999998</v>
      </c>
      <c r="DQ65" s="6">
        <v>-6.0808000000000001E-2</v>
      </c>
      <c r="DR65" s="6">
        <v>0.141425</v>
      </c>
      <c r="DS65" s="6">
        <v>2.3713000000000001E-2</v>
      </c>
      <c r="DT65" s="6">
        <v>0.18754599999999999</v>
      </c>
      <c r="DU65" s="6">
        <v>2.6553E-2</v>
      </c>
      <c r="DW65" s="1">
        <v>-9.3683975267719835E-2</v>
      </c>
      <c r="DY65" s="6">
        <v>5.2429000000000003E-2</v>
      </c>
      <c r="EA65" s="1">
        <f t="shared" si="19"/>
        <v>0</v>
      </c>
      <c r="EC65" s="6">
        <v>0.13123699999999999</v>
      </c>
    </row>
    <row r="66" spans="6:133" s="1" customFormat="1" ht="15" customHeight="1" x14ac:dyDescent="0.35">
      <c r="F66" s="1">
        <v>-7.4167999999999998E-2</v>
      </c>
      <c r="G66" s="1">
        <v>3.0379999999999999E-3</v>
      </c>
      <c r="H66" s="1">
        <v>-0.128972</v>
      </c>
      <c r="J66" s="1">
        <v>0</v>
      </c>
      <c r="K66" s="1">
        <v>0</v>
      </c>
      <c r="L66" s="1">
        <v>0</v>
      </c>
      <c r="N66" s="1">
        <v>0.15964300000000001</v>
      </c>
      <c r="O66" s="1">
        <v>9.3651999999999999E-2</v>
      </c>
      <c r="P66" s="1">
        <v>0.177534</v>
      </c>
      <c r="R66" s="1">
        <v>0.15499299999999999</v>
      </c>
      <c r="S66" s="1">
        <v>0.25699699999999998</v>
      </c>
      <c r="T66" s="1">
        <v>7.7567999999999998E-2</v>
      </c>
      <c r="X66" s="1">
        <f t="shared" si="106"/>
        <v>0.103655</v>
      </c>
      <c r="Y66" s="1">
        <f t="shared" si="102"/>
        <v>0.20565899999999998</v>
      </c>
      <c r="Z66" s="1">
        <f t="shared" si="103"/>
        <v>2.6229999999999996E-2</v>
      </c>
      <c r="AB66" s="1">
        <f t="shared" si="107"/>
        <v>0.103655</v>
      </c>
      <c r="AC66" s="1">
        <f t="shared" si="104"/>
        <v>0.20565899999999998</v>
      </c>
      <c r="AD66" s="1">
        <f t="shared" si="105"/>
        <v>2.6229999999999996E-2</v>
      </c>
      <c r="AH66" s="1">
        <v>2.4182711499999999E-3</v>
      </c>
      <c r="AI66" s="1">
        <v>4.7980244699999995E-3</v>
      </c>
      <c r="AJ66" s="1">
        <v>6.119458999999999E-4</v>
      </c>
      <c r="AN66" s="1">
        <v>2.4222722329999998E-2</v>
      </c>
      <c r="AO66" s="1">
        <v>4.8059629073999993E-2</v>
      </c>
      <c r="AP66" s="1">
        <v>6.1295837799999996E-3</v>
      </c>
      <c r="AT66" s="1">
        <v>2.9199613499999999E-4</v>
      </c>
      <c r="AU66" s="1">
        <v>5.7934140299999994E-4</v>
      </c>
      <c r="AV66" s="1">
        <v>7.3889909999999993E-5</v>
      </c>
      <c r="AZ66" s="1">
        <v>1.4309987370000001E-2</v>
      </c>
      <c r="BA66" s="1">
        <v>2.8392047585999999E-2</v>
      </c>
      <c r="BB66" s="1">
        <v>3.6211564199999996E-3</v>
      </c>
      <c r="CJ66" s="1">
        <v>-1.4849304334999999E-2</v>
      </c>
      <c r="CK66" s="1">
        <v>-2.9462091362999997E-2</v>
      </c>
      <c r="CL66" s="1">
        <v>-3.7576311099999996E-3</v>
      </c>
      <c r="CP66" s="1">
        <v>-3.2007005519999999E-2</v>
      </c>
      <c r="CQ66" s="1">
        <v>-6.3504208655999997E-2</v>
      </c>
      <c r="CR66" s="1">
        <v>-8.0994043199999997E-3</v>
      </c>
      <c r="DD66" s="6">
        <v>0.231486</v>
      </c>
      <c r="DE66" s="6">
        <v>0.166293</v>
      </c>
      <c r="DF66" s="6">
        <v>9.5809000000000005E-2</v>
      </c>
      <c r="DG66" s="6">
        <v>4.9294999999999999E-2</v>
      </c>
      <c r="DH66" s="6">
        <v>-0.163303</v>
      </c>
      <c r="DI66" s="6">
        <v>6.2784999999999994E-2</v>
      </c>
      <c r="DJ66" s="6">
        <v>7.3693999999999996E-2</v>
      </c>
      <c r="DK66" s="6">
        <v>-0.17227899999999999</v>
      </c>
      <c r="DL66" s="6">
        <v>-3.9461999999999997E-2</v>
      </c>
      <c r="DM66" s="6">
        <v>-3.2875000000000001E-2</v>
      </c>
      <c r="DN66" s="6">
        <v>0.107956</v>
      </c>
      <c r="DO66" s="6">
        <v>8.9610999999999996E-2</v>
      </c>
      <c r="DP66" s="6">
        <v>-8.1319000000000002E-2</v>
      </c>
      <c r="DQ66" s="6">
        <v>-0.14512800000000001</v>
      </c>
      <c r="DR66" s="6">
        <v>-2.1586999999999999E-2</v>
      </c>
      <c r="DS66" s="6">
        <v>7.4859999999999996E-2</v>
      </c>
      <c r="DT66" s="6">
        <v>0.164717</v>
      </c>
      <c r="DU66" s="6">
        <v>-0.13639000000000001</v>
      </c>
      <c r="DW66" s="1">
        <v>0.10183187664606422</v>
      </c>
      <c r="DY66" s="6">
        <v>-0.142182</v>
      </c>
      <c r="EA66" s="1">
        <f t="shared" si="19"/>
        <v>0</v>
      </c>
      <c r="EC66" s="6">
        <v>7.7963000000000005E-2</v>
      </c>
    </row>
    <row r="67" spans="6:133" s="1" customFormat="1" ht="15" customHeight="1" x14ac:dyDescent="0.35">
      <c r="DD67" s="6">
        <v>0.14027999999999999</v>
      </c>
      <c r="DE67" s="6">
        <v>-0.117381</v>
      </c>
      <c r="DF67" s="6">
        <v>0.19479299999999999</v>
      </c>
      <c r="DG67" s="6">
        <v>0.202628</v>
      </c>
      <c r="DH67" s="6">
        <v>4.3160999999999998E-2</v>
      </c>
      <c r="DI67" s="6">
        <v>-0.16405</v>
      </c>
      <c r="DJ67" s="6">
        <v>0.21093799999999999</v>
      </c>
      <c r="DK67" s="6">
        <v>0.14726300000000001</v>
      </c>
      <c r="DL67" s="6">
        <v>0.14305999999999999</v>
      </c>
      <c r="DM67" s="6">
        <v>-0.122838</v>
      </c>
      <c r="DN67" s="6">
        <v>-3.9133000000000001E-2</v>
      </c>
      <c r="DO67" s="6">
        <v>-0.115698</v>
      </c>
      <c r="DP67" s="6">
        <v>0.14655899999999999</v>
      </c>
      <c r="DQ67" s="6">
        <v>-5.1719000000000001E-2</v>
      </c>
      <c r="DR67" s="6">
        <v>-0.14122599999999999</v>
      </c>
      <c r="DS67" s="6">
        <v>-2.8301E-2</v>
      </c>
      <c r="DT67" s="6">
        <v>-0.158001</v>
      </c>
      <c r="DU67" s="6">
        <v>-2.1408E-2</v>
      </c>
      <c r="DW67" s="1">
        <v>0.23912615744877805</v>
      </c>
      <c r="DY67" s="6">
        <v>5.4031999999999997E-2</v>
      </c>
      <c r="EA67" s="1">
        <f t="shared" si="19"/>
        <v>0.29315815744877805</v>
      </c>
      <c r="EC67" s="6">
        <v>-6.8733000000000002E-2</v>
      </c>
    </row>
    <row r="68" spans="6:133" s="1" customFormat="1" ht="15" customHeight="1" x14ac:dyDescent="0.35">
      <c r="F68" s="1">
        <v>-0.12145599999999999</v>
      </c>
      <c r="G68" s="1">
        <v>0.27079199999999998</v>
      </c>
      <c r="H68" s="1">
        <v>-9.1216000000000005E-2</v>
      </c>
      <c r="J68" s="1" cm="1">
        <f t="array" ref="J68:L70">Conv2D($B$8:$D$10,F68:H70)</f>
        <v>0</v>
      </c>
      <c r="K68" s="1">
        <v>0</v>
      </c>
      <c r="L68" s="1">
        <v>0</v>
      </c>
      <c r="N68" s="1">
        <v>0.122045</v>
      </c>
      <c r="O68" s="1">
        <v>-3.3772999999999997E-2</v>
      </c>
      <c r="P68" s="1">
        <v>2.171E-2</v>
      </c>
      <c r="R68" s="1" cm="1">
        <f t="array" ref="R68:T70">Conv2D($B$12:$D$14,N68:P70)</f>
        <v>0.18601999999999999</v>
      </c>
      <c r="S68" s="1">
        <v>0.104668</v>
      </c>
      <c r="T68" s="1">
        <v>-0.19355600000000001</v>
      </c>
      <c r="V68" s="1">
        <v>-1.2676E-2</v>
      </c>
      <c r="X68" s="1">
        <f>J68+R68+$V$8</f>
        <v>0.134682</v>
      </c>
      <c r="Y68" s="1">
        <f t="shared" ref="Y68:Y70" si="108">K68+S68+$V$8</f>
        <v>5.3329999999999995E-2</v>
      </c>
      <c r="Z68" s="1">
        <f t="shared" ref="Z68:Z70" si="109">L68+T68+$V$8</f>
        <v>-0.244894</v>
      </c>
      <c r="AB68" s="1">
        <f>MAX(0,X68)</f>
        <v>0.134682</v>
      </c>
      <c r="AC68" s="1">
        <f t="shared" ref="AC68:AC70" si="110">MAX(0,Y68)</f>
        <v>5.3329999999999995E-2</v>
      </c>
      <c r="AD68" s="1">
        <f t="shared" ref="AD68:AD70" si="111">MAX(0,Z68)</f>
        <v>0</v>
      </c>
      <c r="AF68" s="1">
        <v>0.11257200000000001</v>
      </c>
      <c r="AH68" s="1" cm="1">
        <f t="array" ref="AH68:AJ70">Conv($AB$68:$AD$70,AF68)</f>
        <v>1.5161422104E-2</v>
      </c>
      <c r="AI68" s="1">
        <v>6.0034647599999996E-3</v>
      </c>
      <c r="AJ68" s="1">
        <v>0</v>
      </c>
      <c r="AL68" s="1">
        <v>-0.29796099999999998</v>
      </c>
      <c r="AN68" s="1" cm="1">
        <f t="array" ref="AN68:AP70">Conv($AB$68:$AD$70,AL68)</f>
        <v>-4.0129983401999997E-2</v>
      </c>
      <c r="AO68" s="1">
        <v>-1.5890260129999997E-2</v>
      </c>
      <c r="AP68" s="1">
        <v>0</v>
      </c>
      <c r="AR68" s="1">
        <v>4.6439000000000001E-2</v>
      </c>
      <c r="AT68" s="1" cm="1">
        <f t="array" ref="AT68:AV70">Conv($AB$68:$AD$70,AR68)</f>
        <v>6.2544973979999996E-3</v>
      </c>
      <c r="AU68" s="1">
        <v>2.4765918699999998E-3</v>
      </c>
      <c r="AV68" s="1">
        <v>0</v>
      </c>
      <c r="AX68" s="1">
        <v>4.1591000000000003E-2</v>
      </c>
      <c r="AZ68" s="1" cm="1">
        <f t="array" ref="AZ68:BB70">Conv($AB$68:$AD$70,AX68)</f>
        <v>5.6015590620000005E-3</v>
      </c>
      <c r="BA68" s="1">
        <v>2.2180480300000001E-3</v>
      </c>
      <c r="BB68" s="1">
        <v>0</v>
      </c>
      <c r="CH68" s="1">
        <v>0.22953499999999999</v>
      </c>
      <c r="CJ68" s="1" cm="1">
        <f t="array" ref="CJ68:CL70">Conv($AB$68:$AD$70,CH68)</f>
        <v>3.0914232869999999E-2</v>
      </c>
      <c r="CK68" s="1">
        <v>1.2241101549999998E-2</v>
      </c>
      <c r="CL68" s="1">
        <v>0</v>
      </c>
      <c r="CN68" s="1">
        <v>6.2552999999999997E-2</v>
      </c>
      <c r="CP68" s="1" cm="1">
        <f t="array" ref="CP68:CR70">Conv($AB$68:$AD$70,CN68)</f>
        <v>8.4247631459999986E-3</v>
      </c>
      <c r="CQ68" s="1">
        <v>3.3359514899999995E-3</v>
      </c>
      <c r="CR68" s="1">
        <v>0</v>
      </c>
      <c r="DD68" s="6">
        <v>-0.26084800000000002</v>
      </c>
      <c r="DE68" s="6">
        <v>0.21121799999999999</v>
      </c>
      <c r="DF68" s="6">
        <v>0.17904100000000001</v>
      </c>
      <c r="DG68" s="6">
        <v>0.190691</v>
      </c>
      <c r="DH68" s="6">
        <v>0.151841</v>
      </c>
      <c r="DI68" s="6">
        <v>2.2865E-2</v>
      </c>
      <c r="DJ68" s="6">
        <v>-1.3592999999999999E-2</v>
      </c>
      <c r="DK68" s="6">
        <v>1.7701000000000001E-2</v>
      </c>
      <c r="DL68" s="6">
        <v>0.108547</v>
      </c>
      <c r="DM68" s="6">
        <v>0.15368299999999999</v>
      </c>
      <c r="DN68" s="6">
        <v>0.13053699999999999</v>
      </c>
      <c r="DO68" s="6">
        <v>-0.18266499999999999</v>
      </c>
      <c r="DP68" s="6">
        <v>0.20455699999999999</v>
      </c>
      <c r="DQ68" s="6">
        <v>-1.0311000000000001E-2</v>
      </c>
      <c r="DR68" s="6">
        <v>-0.10684299999999999</v>
      </c>
      <c r="DS68" s="6">
        <v>0.19606199999999999</v>
      </c>
      <c r="DT68" s="6">
        <v>6.7736000000000005E-2</v>
      </c>
      <c r="DU68" s="6">
        <v>-0.12548500000000001</v>
      </c>
      <c r="DW68" s="1">
        <v>9.4430344907174571E-2</v>
      </c>
      <c r="DY68" s="6">
        <v>-3.0681E-2</v>
      </c>
      <c r="EA68" s="1">
        <f t="shared" si="19"/>
        <v>6.3749344907174571E-2</v>
      </c>
      <c r="EC68" s="6">
        <v>0.13058500000000001</v>
      </c>
    </row>
    <row r="69" spans="6:133" s="1" customFormat="1" ht="15" customHeight="1" x14ac:dyDescent="0.35">
      <c r="F69" s="1">
        <v>0.30754900000000002</v>
      </c>
      <c r="G69" s="1">
        <v>0.109004</v>
      </c>
      <c r="H69" s="1">
        <v>7.5770000000000004E-3</v>
      </c>
      <c r="J69" s="1">
        <v>0</v>
      </c>
      <c r="K69" s="1">
        <v>0</v>
      </c>
      <c r="L69" s="1">
        <v>0</v>
      </c>
      <c r="N69" s="1">
        <v>-0.203403</v>
      </c>
      <c r="O69" s="1">
        <v>0.27001700000000001</v>
      </c>
      <c r="P69" s="1">
        <v>-0.23869499999999999</v>
      </c>
      <c r="R69" s="1">
        <v>-0.23869499999999999</v>
      </c>
      <c r="S69" s="1">
        <v>0.27001700000000001</v>
      </c>
      <c r="T69" s="1">
        <v>-0.203403</v>
      </c>
      <c r="X69" s="1">
        <f t="shared" ref="X69:X70" si="112">J69+R69+$V$8</f>
        <v>-0.29003299999999999</v>
      </c>
      <c r="Y69" s="1">
        <f t="shared" si="108"/>
        <v>0.21867900000000001</v>
      </c>
      <c r="Z69" s="1">
        <f t="shared" si="109"/>
        <v>-0.254741</v>
      </c>
      <c r="AB69" s="1">
        <f t="shared" ref="AB69:AB70" si="113">MAX(0,X69)</f>
        <v>0</v>
      </c>
      <c r="AC69" s="1">
        <f t="shared" si="110"/>
        <v>0.21867900000000001</v>
      </c>
      <c r="AD69" s="1">
        <f t="shared" si="111"/>
        <v>0</v>
      </c>
      <c r="AH69" s="1">
        <v>0</v>
      </c>
      <c r="AI69" s="1">
        <v>2.4617132388000004E-2</v>
      </c>
      <c r="AJ69" s="1">
        <v>0</v>
      </c>
      <c r="AN69" s="1">
        <v>0</v>
      </c>
      <c r="AO69" s="1">
        <v>-6.5157813519000005E-2</v>
      </c>
      <c r="AP69" s="1">
        <v>0</v>
      </c>
      <c r="AT69" s="1">
        <v>0</v>
      </c>
      <c r="AU69" s="1">
        <v>1.0155234081000001E-2</v>
      </c>
      <c r="AV69" s="1">
        <v>0</v>
      </c>
      <c r="AZ69" s="1">
        <v>0</v>
      </c>
      <c r="BA69" s="1">
        <v>9.0950782890000005E-3</v>
      </c>
      <c r="BB69" s="1">
        <v>0</v>
      </c>
      <c r="CJ69" s="1">
        <v>0</v>
      </c>
      <c r="CK69" s="1">
        <v>5.0194484264999999E-2</v>
      </c>
      <c r="CL69" s="1">
        <v>0</v>
      </c>
      <c r="CP69" s="1">
        <v>0</v>
      </c>
      <c r="CQ69" s="1">
        <v>1.3679027487000001E-2</v>
      </c>
      <c r="CR69" s="1">
        <v>0</v>
      </c>
      <c r="DD69" s="6">
        <v>9.0647000000000005E-2</v>
      </c>
      <c r="DE69" s="6">
        <v>6.9592000000000001E-2</v>
      </c>
      <c r="DF69" s="6">
        <v>-0.21468200000000001</v>
      </c>
      <c r="DG69" s="6">
        <v>-6.1678999999999998E-2</v>
      </c>
      <c r="DH69" s="6">
        <v>7.9500000000000003E-4</v>
      </c>
      <c r="DI69" s="6">
        <v>-0.229856</v>
      </c>
      <c r="DJ69" s="6">
        <v>0.128389</v>
      </c>
      <c r="DK69" s="6">
        <v>0.121001</v>
      </c>
      <c r="DL69" s="6">
        <v>-0.139714</v>
      </c>
      <c r="DM69" s="6">
        <v>-0.16836100000000001</v>
      </c>
      <c r="DN69" s="6">
        <v>-0.211282</v>
      </c>
      <c r="DO69" s="6">
        <v>-7.9014000000000001E-2</v>
      </c>
      <c r="DP69" s="6">
        <v>-0.21448200000000001</v>
      </c>
      <c r="DQ69" s="6">
        <v>-0.113112</v>
      </c>
      <c r="DR69" s="6">
        <v>2.9857999999999999E-2</v>
      </c>
      <c r="DS69" s="6">
        <v>-6.5152000000000002E-2</v>
      </c>
      <c r="DT69" s="6">
        <v>0.16981399999999999</v>
      </c>
      <c r="DU69" s="6">
        <v>0.10970000000000001</v>
      </c>
      <c r="DW69" s="1">
        <v>-4.1733636799621693E-2</v>
      </c>
      <c r="DY69" s="6">
        <v>-2.1995000000000001E-2</v>
      </c>
      <c r="EA69" s="1">
        <f t="shared" si="19"/>
        <v>0</v>
      </c>
      <c r="EC69" s="6">
        <v>2.3939999999999999E-2</v>
      </c>
    </row>
    <row r="70" spans="6:133" s="1" customFormat="1" ht="15" customHeight="1" x14ac:dyDescent="0.35">
      <c r="F70" s="1">
        <v>-0.13500899999999999</v>
      </c>
      <c r="G70" s="1">
        <v>7.8283000000000005E-2</v>
      </c>
      <c r="H70" s="1">
        <v>-3.0599000000000001E-2</v>
      </c>
      <c r="J70" s="1">
        <v>0</v>
      </c>
      <c r="K70" s="1">
        <v>0</v>
      </c>
      <c r="L70" s="1">
        <v>0</v>
      </c>
      <c r="N70" s="1">
        <v>-0.19355600000000001</v>
      </c>
      <c r="O70" s="1">
        <v>0.104668</v>
      </c>
      <c r="P70" s="1">
        <v>0.18601999999999999</v>
      </c>
      <c r="R70" s="1">
        <v>2.171E-2</v>
      </c>
      <c r="S70" s="1">
        <v>-3.3772999999999997E-2</v>
      </c>
      <c r="T70" s="1">
        <v>0.122045</v>
      </c>
      <c r="X70" s="1">
        <f t="shared" si="112"/>
        <v>-2.9628000000000002E-2</v>
      </c>
      <c r="Y70" s="1">
        <f t="shared" si="108"/>
        <v>-8.5110999999999992E-2</v>
      </c>
      <c r="Z70" s="1">
        <f t="shared" si="109"/>
        <v>7.0706999999999992E-2</v>
      </c>
      <c r="AB70" s="1">
        <f t="shared" si="113"/>
        <v>0</v>
      </c>
      <c r="AC70" s="1">
        <f t="shared" si="110"/>
        <v>0</v>
      </c>
      <c r="AD70" s="1">
        <f t="shared" si="111"/>
        <v>7.0706999999999992E-2</v>
      </c>
      <c r="AH70" s="1">
        <v>0</v>
      </c>
      <c r="AI70" s="1">
        <v>0</v>
      </c>
      <c r="AJ70" s="1">
        <v>7.959628404E-3</v>
      </c>
      <c r="AN70" s="1">
        <v>0</v>
      </c>
      <c r="AO70" s="1">
        <v>0</v>
      </c>
      <c r="AP70" s="1">
        <v>-2.1067928426999998E-2</v>
      </c>
      <c r="AT70" s="1">
        <v>0</v>
      </c>
      <c r="AU70" s="1">
        <v>0</v>
      </c>
      <c r="AV70" s="1">
        <v>3.2835623729999997E-3</v>
      </c>
      <c r="AZ70" s="1">
        <v>0</v>
      </c>
      <c r="BA70" s="1">
        <v>0</v>
      </c>
      <c r="BB70" s="1">
        <v>2.9407748369999999E-3</v>
      </c>
      <c r="CJ70" s="1">
        <v>0</v>
      </c>
      <c r="CK70" s="1">
        <v>0</v>
      </c>
      <c r="CL70" s="1">
        <v>1.6229731244999997E-2</v>
      </c>
      <c r="CP70" s="1">
        <v>0</v>
      </c>
      <c r="CQ70" s="1">
        <v>0</v>
      </c>
      <c r="CR70" s="1">
        <v>4.422934970999999E-3</v>
      </c>
      <c r="DD70" s="6">
        <v>1.4205000000000001E-2</v>
      </c>
      <c r="DE70" s="6">
        <v>-0.21271899999999999</v>
      </c>
      <c r="DF70" s="6">
        <v>0.18373</v>
      </c>
      <c r="DG70" s="6">
        <v>5.6298000000000001E-2</v>
      </c>
      <c r="DH70" s="6">
        <v>-3.9719999999999998E-2</v>
      </c>
      <c r="DI70" s="6">
        <v>-0.169049</v>
      </c>
      <c r="DJ70" s="6">
        <v>7.8813999999999995E-2</v>
      </c>
      <c r="DK70" s="6">
        <v>4.4689E-2</v>
      </c>
      <c r="DL70" s="6">
        <v>-8.1522999999999998E-2</v>
      </c>
      <c r="DM70" s="6">
        <v>6.9233000000000003E-2</v>
      </c>
      <c r="DN70" s="6">
        <v>0.145343</v>
      </c>
      <c r="DO70" s="6">
        <v>-1.9289999999999999E-3</v>
      </c>
      <c r="DP70" s="6">
        <v>-7.8261999999999998E-2</v>
      </c>
      <c r="DQ70" s="6">
        <v>-8.8955999999999993E-2</v>
      </c>
      <c r="DR70" s="6">
        <v>-0.14222599999999999</v>
      </c>
      <c r="DS70" s="6">
        <v>-8.2267999999999994E-2</v>
      </c>
      <c r="DT70" s="6">
        <v>1.6286999999999999E-2</v>
      </c>
      <c r="DU70" s="6">
        <v>4.7308999999999997E-2</v>
      </c>
      <c r="DW70" s="1">
        <v>-1.2648420151429449E-2</v>
      </c>
      <c r="DY70" s="6">
        <v>-0.105778</v>
      </c>
      <c r="EA70" s="1">
        <f t="shared" si="19"/>
        <v>0</v>
      </c>
      <c r="EC70" s="6">
        <v>-1.166E-2</v>
      </c>
    </row>
    <row r="71" spans="6:133" ht="15" customHeight="1" x14ac:dyDescent="0.35">
      <c r="DD71" s="6">
        <v>-0.25284299999999998</v>
      </c>
      <c r="DE71" s="6">
        <v>4.1875999999999997E-2</v>
      </c>
      <c r="DF71" s="6">
        <v>-1.6775000000000002E-2</v>
      </c>
      <c r="DG71" s="6">
        <v>9.528E-3</v>
      </c>
      <c r="DH71" s="6">
        <v>-0.221523</v>
      </c>
      <c r="DI71" s="6">
        <v>0.11658200000000001</v>
      </c>
      <c r="DJ71" s="6">
        <v>-0.127411</v>
      </c>
      <c r="DK71" s="6">
        <v>2.6727999999999998E-2</v>
      </c>
      <c r="DL71" s="6">
        <v>0.115186</v>
      </c>
      <c r="DM71" s="6">
        <v>-4.6545000000000003E-2</v>
      </c>
      <c r="DN71" s="6">
        <v>4.6532999999999998E-2</v>
      </c>
      <c r="DO71" s="6">
        <v>-0.131665</v>
      </c>
      <c r="DP71" s="6">
        <v>-0.11841599999999999</v>
      </c>
      <c r="DQ71" s="6">
        <v>0.232961</v>
      </c>
      <c r="DR71" s="6">
        <v>-0.119766</v>
      </c>
      <c r="DS71" s="6">
        <v>0.23325399999999999</v>
      </c>
      <c r="DT71" s="6">
        <v>9.1949000000000003E-2</v>
      </c>
      <c r="DU71" s="6">
        <v>0.192631</v>
      </c>
      <c r="DV71" s="1"/>
      <c r="DW71" s="1">
        <v>-0.17221042146919727</v>
      </c>
      <c r="DX71" s="1"/>
      <c r="DY71" s="6">
        <v>0.15109500000000001</v>
      </c>
      <c r="DZ71" s="1"/>
      <c r="EA71" s="1">
        <f t="shared" si="19"/>
        <v>0</v>
      </c>
      <c r="EB71" s="1"/>
      <c r="EC71" s="6">
        <v>8.2521999999999998E-2</v>
      </c>
    </row>
  </sheetData>
  <phoneticPr fontId="1"/>
  <conditionalFormatting sqref="F8:H10">
    <cfRule type="colorScale" priority="448">
      <colorScale>
        <cfvo type="min"/>
        <cfvo type="max"/>
        <color rgb="FF63BE7B"/>
        <color rgb="FFFFEF9C"/>
      </colorScale>
    </cfRule>
  </conditionalFormatting>
  <conditionalFormatting sqref="J8:L10">
    <cfRule type="colorScale" priority="4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8:P10">
    <cfRule type="colorScale" priority="446">
      <colorScale>
        <cfvo type="min"/>
        <cfvo type="max"/>
        <color rgb="FF63BE7B"/>
        <color rgb="FFFFEF9C"/>
      </colorScale>
    </cfRule>
  </conditionalFormatting>
  <conditionalFormatting sqref="R8:T10">
    <cfRule type="colorScale" priority="4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8:Z10">
    <cfRule type="colorScale" priority="444">
      <colorScale>
        <cfvo type="min"/>
        <cfvo type="max"/>
        <color rgb="FFFCFCFF"/>
        <color rgb="FFF8696B"/>
      </colorScale>
    </cfRule>
  </conditionalFormatting>
  <conditionalFormatting sqref="AB8:AD10">
    <cfRule type="colorScale" priority="443">
      <colorScale>
        <cfvo type="min"/>
        <cfvo type="max"/>
        <color rgb="FFFCFCFF"/>
        <color rgb="FFF8696B"/>
      </colorScale>
    </cfRule>
  </conditionalFormatting>
  <conditionalFormatting sqref="V8">
    <cfRule type="colorScale" priority="442">
      <colorScale>
        <cfvo type="min"/>
        <cfvo type="max"/>
        <color rgb="FF63BE7B"/>
        <color rgb="FFFFEF9C"/>
      </colorScale>
    </cfRule>
  </conditionalFormatting>
  <conditionalFormatting sqref="F12:H14">
    <cfRule type="colorScale" priority="441">
      <colorScale>
        <cfvo type="min"/>
        <cfvo type="max"/>
        <color rgb="FF63BE7B"/>
        <color rgb="FFFFEF9C"/>
      </colorScale>
    </cfRule>
  </conditionalFormatting>
  <conditionalFormatting sqref="J12:L14">
    <cfRule type="colorScale" priority="4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2:P14">
    <cfRule type="colorScale" priority="439">
      <colorScale>
        <cfvo type="min"/>
        <cfvo type="max"/>
        <color rgb="FF63BE7B"/>
        <color rgb="FFFFEF9C"/>
      </colorScale>
    </cfRule>
  </conditionalFormatting>
  <conditionalFormatting sqref="R12:T14">
    <cfRule type="colorScale" priority="4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12:Z14">
    <cfRule type="colorScale" priority="437">
      <colorScale>
        <cfvo type="min"/>
        <cfvo type="max"/>
        <color rgb="FFFCFCFF"/>
        <color rgb="FFF8696B"/>
      </colorScale>
    </cfRule>
  </conditionalFormatting>
  <conditionalFormatting sqref="AB12:AD14">
    <cfRule type="colorScale" priority="436">
      <colorScale>
        <cfvo type="min"/>
        <cfvo type="max"/>
        <color rgb="FFFCFCFF"/>
        <color rgb="FFF8696B"/>
      </colorScale>
    </cfRule>
  </conditionalFormatting>
  <conditionalFormatting sqref="V12">
    <cfRule type="colorScale" priority="435">
      <colorScale>
        <cfvo type="min"/>
        <cfvo type="max"/>
        <color rgb="FF63BE7B"/>
        <color rgb="FFFFEF9C"/>
      </colorScale>
    </cfRule>
  </conditionalFormatting>
  <conditionalFormatting sqref="B8:D10">
    <cfRule type="colorScale" priority="378">
      <colorScale>
        <cfvo type="min"/>
        <cfvo type="max"/>
        <color rgb="FFFCFCFF"/>
        <color rgb="FF63BE7B"/>
      </colorScale>
    </cfRule>
  </conditionalFormatting>
  <conditionalFormatting sqref="B12:D14">
    <cfRule type="colorScale" priority="377">
      <colorScale>
        <cfvo type="min"/>
        <cfvo type="max"/>
        <color rgb="FFFCFCFF"/>
        <color rgb="FF63BE7B"/>
      </colorScale>
    </cfRule>
  </conditionalFormatting>
  <conditionalFormatting sqref="F16:H18">
    <cfRule type="colorScale" priority="376">
      <colorScale>
        <cfvo type="min"/>
        <cfvo type="max"/>
        <color rgb="FF63BE7B"/>
        <color rgb="FFFFEF9C"/>
      </colorScale>
    </cfRule>
  </conditionalFormatting>
  <conditionalFormatting sqref="J16:L18">
    <cfRule type="colorScale" priority="3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6:P18">
    <cfRule type="colorScale" priority="374">
      <colorScale>
        <cfvo type="min"/>
        <cfvo type="max"/>
        <color rgb="FF63BE7B"/>
        <color rgb="FFFFEF9C"/>
      </colorScale>
    </cfRule>
  </conditionalFormatting>
  <conditionalFormatting sqref="R16:T18">
    <cfRule type="colorScale" priority="3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16:Z18">
    <cfRule type="colorScale" priority="372">
      <colorScale>
        <cfvo type="min"/>
        <cfvo type="max"/>
        <color rgb="FFFCFCFF"/>
        <color rgb="FFF8696B"/>
      </colorScale>
    </cfRule>
  </conditionalFormatting>
  <conditionalFormatting sqref="AB16:AD18">
    <cfRule type="colorScale" priority="371">
      <colorScale>
        <cfvo type="min"/>
        <cfvo type="max"/>
        <color rgb="FFFCFCFF"/>
        <color rgb="FFF8696B"/>
      </colorScale>
    </cfRule>
  </conditionalFormatting>
  <conditionalFormatting sqref="V16">
    <cfRule type="colorScale" priority="370">
      <colorScale>
        <cfvo type="min"/>
        <cfvo type="max"/>
        <color rgb="FF63BE7B"/>
        <color rgb="FFFFEF9C"/>
      </colorScale>
    </cfRule>
  </conditionalFormatting>
  <conditionalFormatting sqref="F20:H22">
    <cfRule type="colorScale" priority="369">
      <colorScale>
        <cfvo type="min"/>
        <cfvo type="max"/>
        <color rgb="FF63BE7B"/>
        <color rgb="FFFFEF9C"/>
      </colorScale>
    </cfRule>
  </conditionalFormatting>
  <conditionalFormatting sqref="J20:L22">
    <cfRule type="colorScale" priority="36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20:P22">
    <cfRule type="colorScale" priority="367">
      <colorScale>
        <cfvo type="min"/>
        <cfvo type="max"/>
        <color rgb="FF63BE7B"/>
        <color rgb="FFFFEF9C"/>
      </colorScale>
    </cfRule>
  </conditionalFormatting>
  <conditionalFormatting sqref="R20:T22">
    <cfRule type="colorScale" priority="3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20:Z22">
    <cfRule type="colorScale" priority="365">
      <colorScale>
        <cfvo type="min"/>
        <cfvo type="max"/>
        <color rgb="FFFCFCFF"/>
        <color rgb="FFF8696B"/>
      </colorScale>
    </cfRule>
  </conditionalFormatting>
  <conditionalFormatting sqref="AB20:AD22">
    <cfRule type="colorScale" priority="364">
      <colorScale>
        <cfvo type="min"/>
        <cfvo type="max"/>
        <color rgb="FFFCFCFF"/>
        <color rgb="FFF8696B"/>
      </colorScale>
    </cfRule>
  </conditionalFormatting>
  <conditionalFormatting sqref="V20">
    <cfRule type="colorScale" priority="363">
      <colorScale>
        <cfvo type="min"/>
        <cfvo type="max"/>
        <color rgb="FF63BE7B"/>
        <color rgb="FFFFEF9C"/>
      </colorScale>
    </cfRule>
  </conditionalFormatting>
  <conditionalFormatting sqref="F24:H26">
    <cfRule type="colorScale" priority="362">
      <colorScale>
        <cfvo type="min"/>
        <cfvo type="max"/>
        <color rgb="FF63BE7B"/>
        <color rgb="FFFFEF9C"/>
      </colorScale>
    </cfRule>
  </conditionalFormatting>
  <conditionalFormatting sqref="J24:L26">
    <cfRule type="colorScale" priority="3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24:P26">
    <cfRule type="colorScale" priority="360">
      <colorScale>
        <cfvo type="min"/>
        <cfvo type="max"/>
        <color rgb="FF63BE7B"/>
        <color rgb="FFFFEF9C"/>
      </colorScale>
    </cfRule>
  </conditionalFormatting>
  <conditionalFormatting sqref="R24:T26">
    <cfRule type="colorScale" priority="3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24:Z26">
    <cfRule type="colorScale" priority="358">
      <colorScale>
        <cfvo type="min"/>
        <cfvo type="max"/>
        <color rgb="FFFCFCFF"/>
        <color rgb="FFF8696B"/>
      </colorScale>
    </cfRule>
  </conditionalFormatting>
  <conditionalFormatting sqref="AB24:AD26">
    <cfRule type="colorScale" priority="357">
      <colorScale>
        <cfvo type="min"/>
        <cfvo type="max"/>
        <color rgb="FFFCFCFF"/>
        <color rgb="FFF8696B"/>
      </colorScale>
    </cfRule>
  </conditionalFormatting>
  <conditionalFormatting sqref="V24">
    <cfRule type="colorScale" priority="356">
      <colorScale>
        <cfvo type="min"/>
        <cfvo type="max"/>
        <color rgb="FF63BE7B"/>
        <color rgb="FFFFEF9C"/>
      </colorScale>
    </cfRule>
  </conditionalFormatting>
  <conditionalFormatting sqref="F28:H30">
    <cfRule type="colorScale" priority="355">
      <colorScale>
        <cfvo type="min"/>
        <cfvo type="max"/>
        <color rgb="FF63BE7B"/>
        <color rgb="FFFFEF9C"/>
      </colorScale>
    </cfRule>
  </conditionalFormatting>
  <conditionalFormatting sqref="J28:L30">
    <cfRule type="colorScale" priority="3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28:P30">
    <cfRule type="colorScale" priority="353">
      <colorScale>
        <cfvo type="min"/>
        <cfvo type="max"/>
        <color rgb="FF63BE7B"/>
        <color rgb="FFFFEF9C"/>
      </colorScale>
    </cfRule>
  </conditionalFormatting>
  <conditionalFormatting sqref="R28:T30">
    <cfRule type="colorScale" priority="3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28:Z30">
    <cfRule type="colorScale" priority="351">
      <colorScale>
        <cfvo type="min"/>
        <cfvo type="max"/>
        <color rgb="FFFCFCFF"/>
        <color rgb="FFF8696B"/>
      </colorScale>
    </cfRule>
  </conditionalFormatting>
  <conditionalFormatting sqref="AB28:AD30">
    <cfRule type="colorScale" priority="350">
      <colorScale>
        <cfvo type="min"/>
        <cfvo type="max"/>
        <color rgb="FFFCFCFF"/>
        <color rgb="FFF8696B"/>
      </colorScale>
    </cfRule>
  </conditionalFormatting>
  <conditionalFormatting sqref="V28">
    <cfRule type="colorScale" priority="349">
      <colorScale>
        <cfvo type="min"/>
        <cfvo type="max"/>
        <color rgb="FF63BE7B"/>
        <color rgb="FFFFEF9C"/>
      </colorScale>
    </cfRule>
  </conditionalFormatting>
  <conditionalFormatting sqref="F32:H34">
    <cfRule type="colorScale" priority="348">
      <colorScale>
        <cfvo type="min"/>
        <cfvo type="max"/>
        <color rgb="FF63BE7B"/>
        <color rgb="FFFFEF9C"/>
      </colorScale>
    </cfRule>
  </conditionalFormatting>
  <conditionalFormatting sqref="J32:L34">
    <cfRule type="colorScale" priority="3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32:P34">
    <cfRule type="colorScale" priority="346">
      <colorScale>
        <cfvo type="min"/>
        <cfvo type="max"/>
        <color rgb="FF63BE7B"/>
        <color rgb="FFFFEF9C"/>
      </colorScale>
    </cfRule>
  </conditionalFormatting>
  <conditionalFormatting sqref="R32:T34">
    <cfRule type="colorScale" priority="3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32:Z34">
    <cfRule type="colorScale" priority="344">
      <colorScale>
        <cfvo type="min"/>
        <cfvo type="max"/>
        <color rgb="FFFCFCFF"/>
        <color rgb="FFF8696B"/>
      </colorScale>
    </cfRule>
  </conditionalFormatting>
  <conditionalFormatting sqref="AB32:AD34">
    <cfRule type="colorScale" priority="343">
      <colorScale>
        <cfvo type="min"/>
        <cfvo type="max"/>
        <color rgb="FFFCFCFF"/>
        <color rgb="FFF8696B"/>
      </colorScale>
    </cfRule>
  </conditionalFormatting>
  <conditionalFormatting sqref="V32">
    <cfRule type="colorScale" priority="342">
      <colorScale>
        <cfvo type="min"/>
        <cfvo type="max"/>
        <color rgb="FF63BE7B"/>
        <color rgb="FFFFEF9C"/>
      </colorScale>
    </cfRule>
  </conditionalFormatting>
  <conditionalFormatting sqref="F36:H38">
    <cfRule type="colorScale" priority="341">
      <colorScale>
        <cfvo type="min"/>
        <cfvo type="max"/>
        <color rgb="FF63BE7B"/>
        <color rgb="FFFFEF9C"/>
      </colorScale>
    </cfRule>
  </conditionalFormatting>
  <conditionalFormatting sqref="J36:L38">
    <cfRule type="colorScale" priority="3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36:P38">
    <cfRule type="colorScale" priority="339">
      <colorScale>
        <cfvo type="min"/>
        <cfvo type="max"/>
        <color rgb="FF63BE7B"/>
        <color rgb="FFFFEF9C"/>
      </colorScale>
    </cfRule>
  </conditionalFormatting>
  <conditionalFormatting sqref="R36:T38">
    <cfRule type="colorScale" priority="3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36:Z38">
    <cfRule type="colorScale" priority="337">
      <colorScale>
        <cfvo type="min"/>
        <cfvo type="max"/>
        <color rgb="FFFCFCFF"/>
        <color rgb="FFF8696B"/>
      </colorScale>
    </cfRule>
  </conditionalFormatting>
  <conditionalFormatting sqref="AB36:AD38">
    <cfRule type="colorScale" priority="336">
      <colorScale>
        <cfvo type="min"/>
        <cfvo type="max"/>
        <color rgb="FFFCFCFF"/>
        <color rgb="FFF8696B"/>
      </colorScale>
    </cfRule>
  </conditionalFormatting>
  <conditionalFormatting sqref="V36">
    <cfRule type="colorScale" priority="335">
      <colorScale>
        <cfvo type="min"/>
        <cfvo type="max"/>
        <color rgb="FF63BE7B"/>
        <color rgb="FFFFEF9C"/>
      </colorScale>
    </cfRule>
  </conditionalFormatting>
  <conditionalFormatting sqref="F40:H42">
    <cfRule type="colorScale" priority="334">
      <colorScale>
        <cfvo type="min"/>
        <cfvo type="max"/>
        <color rgb="FF63BE7B"/>
        <color rgb="FFFFEF9C"/>
      </colorScale>
    </cfRule>
  </conditionalFormatting>
  <conditionalFormatting sqref="J40:L42"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40:P42">
    <cfRule type="colorScale" priority="332">
      <colorScale>
        <cfvo type="min"/>
        <cfvo type="max"/>
        <color rgb="FF63BE7B"/>
        <color rgb="FFFFEF9C"/>
      </colorScale>
    </cfRule>
  </conditionalFormatting>
  <conditionalFormatting sqref="R40:T42">
    <cfRule type="colorScale" priority="3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40:Z42">
    <cfRule type="colorScale" priority="330">
      <colorScale>
        <cfvo type="min"/>
        <cfvo type="max"/>
        <color rgb="FFFCFCFF"/>
        <color rgb="FFF8696B"/>
      </colorScale>
    </cfRule>
  </conditionalFormatting>
  <conditionalFormatting sqref="AB40:AD42">
    <cfRule type="colorScale" priority="329">
      <colorScale>
        <cfvo type="min"/>
        <cfvo type="max"/>
        <color rgb="FFFCFCFF"/>
        <color rgb="FFF8696B"/>
      </colorScale>
    </cfRule>
  </conditionalFormatting>
  <conditionalFormatting sqref="V40">
    <cfRule type="colorScale" priority="328">
      <colorScale>
        <cfvo type="min"/>
        <cfvo type="max"/>
        <color rgb="FF63BE7B"/>
        <color rgb="FFFFEF9C"/>
      </colorScale>
    </cfRule>
  </conditionalFormatting>
  <conditionalFormatting sqref="F44:H46">
    <cfRule type="colorScale" priority="327">
      <colorScale>
        <cfvo type="min"/>
        <cfvo type="max"/>
        <color rgb="FF63BE7B"/>
        <color rgb="FFFFEF9C"/>
      </colorScale>
    </cfRule>
  </conditionalFormatting>
  <conditionalFormatting sqref="J44:L46">
    <cfRule type="colorScale" priority="3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44:P46">
    <cfRule type="colorScale" priority="325">
      <colorScale>
        <cfvo type="min"/>
        <cfvo type="max"/>
        <color rgb="FF63BE7B"/>
        <color rgb="FFFFEF9C"/>
      </colorScale>
    </cfRule>
  </conditionalFormatting>
  <conditionalFormatting sqref="R44:T46">
    <cfRule type="colorScale" priority="3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44:Z46">
    <cfRule type="colorScale" priority="323">
      <colorScale>
        <cfvo type="min"/>
        <cfvo type="max"/>
        <color rgb="FFFCFCFF"/>
        <color rgb="FFF8696B"/>
      </colorScale>
    </cfRule>
  </conditionalFormatting>
  <conditionalFormatting sqref="AB44:AD46">
    <cfRule type="colorScale" priority="322">
      <colorScale>
        <cfvo type="min"/>
        <cfvo type="max"/>
        <color rgb="FFFCFCFF"/>
        <color rgb="FFF8696B"/>
      </colorScale>
    </cfRule>
  </conditionalFormatting>
  <conditionalFormatting sqref="V44">
    <cfRule type="colorScale" priority="321">
      <colorScale>
        <cfvo type="min"/>
        <cfvo type="max"/>
        <color rgb="FF63BE7B"/>
        <color rgb="FFFFEF9C"/>
      </colorScale>
    </cfRule>
  </conditionalFormatting>
  <conditionalFormatting sqref="F48:H50">
    <cfRule type="colorScale" priority="320">
      <colorScale>
        <cfvo type="min"/>
        <cfvo type="max"/>
        <color rgb="FF63BE7B"/>
        <color rgb="FFFFEF9C"/>
      </colorScale>
    </cfRule>
  </conditionalFormatting>
  <conditionalFormatting sqref="J48:L50">
    <cfRule type="colorScale" priority="3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48:P50">
    <cfRule type="colorScale" priority="318">
      <colorScale>
        <cfvo type="min"/>
        <cfvo type="max"/>
        <color rgb="FF63BE7B"/>
        <color rgb="FFFFEF9C"/>
      </colorScale>
    </cfRule>
  </conditionalFormatting>
  <conditionalFormatting sqref="R48:T50"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48:Z50">
    <cfRule type="colorScale" priority="316">
      <colorScale>
        <cfvo type="min"/>
        <cfvo type="max"/>
        <color rgb="FFFCFCFF"/>
        <color rgb="FFF8696B"/>
      </colorScale>
    </cfRule>
  </conditionalFormatting>
  <conditionalFormatting sqref="AB48:AD50">
    <cfRule type="colorScale" priority="315">
      <colorScale>
        <cfvo type="min"/>
        <cfvo type="max"/>
        <color rgb="FFFCFCFF"/>
        <color rgb="FFF8696B"/>
      </colorScale>
    </cfRule>
  </conditionalFormatting>
  <conditionalFormatting sqref="V48">
    <cfRule type="colorScale" priority="314">
      <colorScale>
        <cfvo type="min"/>
        <cfvo type="max"/>
        <color rgb="FF63BE7B"/>
        <color rgb="FFFFEF9C"/>
      </colorScale>
    </cfRule>
  </conditionalFormatting>
  <conditionalFormatting sqref="F52:H54">
    <cfRule type="colorScale" priority="313">
      <colorScale>
        <cfvo type="min"/>
        <cfvo type="max"/>
        <color rgb="FF63BE7B"/>
        <color rgb="FFFFEF9C"/>
      </colorScale>
    </cfRule>
  </conditionalFormatting>
  <conditionalFormatting sqref="J52:L54">
    <cfRule type="colorScale" priority="3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52:P54">
    <cfRule type="colorScale" priority="311">
      <colorScale>
        <cfvo type="min"/>
        <cfvo type="max"/>
        <color rgb="FF63BE7B"/>
        <color rgb="FFFFEF9C"/>
      </colorScale>
    </cfRule>
  </conditionalFormatting>
  <conditionalFormatting sqref="R52:T54">
    <cfRule type="colorScale" priority="3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52:Z54">
    <cfRule type="colorScale" priority="309">
      <colorScale>
        <cfvo type="min"/>
        <cfvo type="max"/>
        <color rgb="FFFCFCFF"/>
        <color rgb="FFF8696B"/>
      </colorScale>
    </cfRule>
  </conditionalFormatting>
  <conditionalFormatting sqref="AB52:AD54">
    <cfRule type="colorScale" priority="308">
      <colorScale>
        <cfvo type="min"/>
        <cfvo type="max"/>
        <color rgb="FFFCFCFF"/>
        <color rgb="FFF8696B"/>
      </colorScale>
    </cfRule>
  </conditionalFormatting>
  <conditionalFormatting sqref="V52">
    <cfRule type="colorScale" priority="307">
      <colorScale>
        <cfvo type="min"/>
        <cfvo type="max"/>
        <color rgb="FF63BE7B"/>
        <color rgb="FFFFEF9C"/>
      </colorScale>
    </cfRule>
  </conditionalFormatting>
  <conditionalFormatting sqref="F56:H58">
    <cfRule type="colorScale" priority="306">
      <colorScale>
        <cfvo type="min"/>
        <cfvo type="max"/>
        <color rgb="FF63BE7B"/>
        <color rgb="FFFFEF9C"/>
      </colorScale>
    </cfRule>
  </conditionalFormatting>
  <conditionalFormatting sqref="J56:L58">
    <cfRule type="colorScale" priority="3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56:P58">
    <cfRule type="colorScale" priority="304">
      <colorScale>
        <cfvo type="min"/>
        <cfvo type="max"/>
        <color rgb="FF63BE7B"/>
        <color rgb="FFFFEF9C"/>
      </colorScale>
    </cfRule>
  </conditionalFormatting>
  <conditionalFormatting sqref="R56:T58">
    <cfRule type="colorScale" priority="30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56:Z58">
    <cfRule type="colorScale" priority="302">
      <colorScale>
        <cfvo type="min"/>
        <cfvo type="max"/>
        <color rgb="FFFCFCFF"/>
        <color rgb="FFF8696B"/>
      </colorScale>
    </cfRule>
  </conditionalFormatting>
  <conditionalFormatting sqref="AB56:AD58">
    <cfRule type="colorScale" priority="301">
      <colorScale>
        <cfvo type="min"/>
        <cfvo type="max"/>
        <color rgb="FFFCFCFF"/>
        <color rgb="FFF8696B"/>
      </colorScale>
    </cfRule>
  </conditionalFormatting>
  <conditionalFormatting sqref="V56">
    <cfRule type="colorScale" priority="300">
      <colorScale>
        <cfvo type="min"/>
        <cfvo type="max"/>
        <color rgb="FF63BE7B"/>
        <color rgb="FFFFEF9C"/>
      </colorScale>
    </cfRule>
  </conditionalFormatting>
  <conditionalFormatting sqref="F60:H62">
    <cfRule type="colorScale" priority="299">
      <colorScale>
        <cfvo type="min"/>
        <cfvo type="max"/>
        <color rgb="FF63BE7B"/>
        <color rgb="FFFFEF9C"/>
      </colorScale>
    </cfRule>
  </conditionalFormatting>
  <conditionalFormatting sqref="J60:L62">
    <cfRule type="colorScale" priority="29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60:P62">
    <cfRule type="colorScale" priority="297">
      <colorScale>
        <cfvo type="min"/>
        <cfvo type="max"/>
        <color rgb="FF63BE7B"/>
        <color rgb="FFFFEF9C"/>
      </colorScale>
    </cfRule>
  </conditionalFormatting>
  <conditionalFormatting sqref="R60:T62">
    <cfRule type="colorScale" priority="2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60:Z62">
    <cfRule type="colorScale" priority="295">
      <colorScale>
        <cfvo type="min"/>
        <cfvo type="max"/>
        <color rgb="FFFCFCFF"/>
        <color rgb="FFF8696B"/>
      </colorScale>
    </cfRule>
  </conditionalFormatting>
  <conditionalFormatting sqref="AB60:AD62">
    <cfRule type="colorScale" priority="294">
      <colorScale>
        <cfvo type="min"/>
        <cfvo type="max"/>
        <color rgb="FFFCFCFF"/>
        <color rgb="FFF8696B"/>
      </colorScale>
    </cfRule>
  </conditionalFormatting>
  <conditionalFormatting sqref="V60">
    <cfRule type="colorScale" priority="293">
      <colorScale>
        <cfvo type="min"/>
        <cfvo type="max"/>
        <color rgb="FF63BE7B"/>
        <color rgb="FFFFEF9C"/>
      </colorScale>
    </cfRule>
  </conditionalFormatting>
  <conditionalFormatting sqref="F64:H66">
    <cfRule type="colorScale" priority="292">
      <colorScale>
        <cfvo type="min"/>
        <cfvo type="max"/>
        <color rgb="FF63BE7B"/>
        <color rgb="FFFFEF9C"/>
      </colorScale>
    </cfRule>
  </conditionalFormatting>
  <conditionalFormatting sqref="J64:L66">
    <cfRule type="colorScale" priority="29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64:P66">
    <cfRule type="colorScale" priority="290">
      <colorScale>
        <cfvo type="min"/>
        <cfvo type="max"/>
        <color rgb="FF63BE7B"/>
        <color rgb="FFFFEF9C"/>
      </colorScale>
    </cfRule>
  </conditionalFormatting>
  <conditionalFormatting sqref="R64:T66">
    <cfRule type="colorScale" priority="28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64:Z66">
    <cfRule type="colorScale" priority="288">
      <colorScale>
        <cfvo type="min"/>
        <cfvo type="max"/>
        <color rgb="FFFCFCFF"/>
        <color rgb="FFF8696B"/>
      </colorScale>
    </cfRule>
  </conditionalFormatting>
  <conditionalFormatting sqref="AB64:AD66">
    <cfRule type="colorScale" priority="287">
      <colorScale>
        <cfvo type="min"/>
        <cfvo type="max"/>
        <color rgb="FFFCFCFF"/>
        <color rgb="FFF8696B"/>
      </colorScale>
    </cfRule>
  </conditionalFormatting>
  <conditionalFormatting sqref="V64">
    <cfRule type="colorScale" priority="286">
      <colorScale>
        <cfvo type="min"/>
        <cfvo type="max"/>
        <color rgb="FF63BE7B"/>
        <color rgb="FFFFEF9C"/>
      </colorScale>
    </cfRule>
  </conditionalFormatting>
  <conditionalFormatting sqref="F68:H70">
    <cfRule type="colorScale" priority="285">
      <colorScale>
        <cfvo type="min"/>
        <cfvo type="max"/>
        <color rgb="FF63BE7B"/>
        <color rgb="FFFFEF9C"/>
      </colorScale>
    </cfRule>
  </conditionalFormatting>
  <conditionalFormatting sqref="J68:L70">
    <cfRule type="colorScale" priority="2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68:P70">
    <cfRule type="colorScale" priority="283">
      <colorScale>
        <cfvo type="min"/>
        <cfvo type="max"/>
        <color rgb="FF63BE7B"/>
        <color rgb="FFFFEF9C"/>
      </colorScale>
    </cfRule>
  </conditionalFormatting>
  <conditionalFormatting sqref="R68:T70">
    <cfRule type="colorScale" priority="28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68:Z70">
    <cfRule type="colorScale" priority="281">
      <colorScale>
        <cfvo type="min"/>
        <cfvo type="max"/>
        <color rgb="FFFCFCFF"/>
        <color rgb="FFF8696B"/>
      </colorScale>
    </cfRule>
  </conditionalFormatting>
  <conditionalFormatting sqref="AB68:AD70">
    <cfRule type="colorScale" priority="280">
      <colorScale>
        <cfvo type="min"/>
        <cfvo type="max"/>
        <color rgb="FFFCFCFF"/>
        <color rgb="FFF8696B"/>
      </colorScale>
    </cfRule>
  </conditionalFormatting>
  <conditionalFormatting sqref="V68">
    <cfRule type="colorScale" priority="279">
      <colorScale>
        <cfvo type="min"/>
        <cfvo type="max"/>
        <color rgb="FF63BE7B"/>
        <color rgb="FFFFEF9C"/>
      </colorScale>
    </cfRule>
  </conditionalFormatting>
  <conditionalFormatting sqref="AF8">
    <cfRule type="colorScale" priority="277">
      <colorScale>
        <cfvo type="min"/>
        <cfvo type="max"/>
        <color rgb="FF63BE7B"/>
        <color rgb="FFFFEF9C"/>
      </colorScale>
    </cfRule>
  </conditionalFormatting>
  <conditionalFormatting sqref="AF12">
    <cfRule type="colorScale" priority="276">
      <colorScale>
        <cfvo type="min"/>
        <cfvo type="max"/>
        <color rgb="FF63BE7B"/>
        <color rgb="FFFFEF9C"/>
      </colorScale>
    </cfRule>
  </conditionalFormatting>
  <conditionalFormatting sqref="AF16">
    <cfRule type="colorScale" priority="275">
      <colorScale>
        <cfvo type="min"/>
        <cfvo type="max"/>
        <color rgb="FF63BE7B"/>
        <color rgb="FFFFEF9C"/>
      </colorScale>
    </cfRule>
  </conditionalFormatting>
  <conditionalFormatting sqref="AF20">
    <cfRule type="colorScale" priority="274">
      <colorScale>
        <cfvo type="min"/>
        <cfvo type="max"/>
        <color rgb="FF63BE7B"/>
        <color rgb="FFFFEF9C"/>
      </colorScale>
    </cfRule>
  </conditionalFormatting>
  <conditionalFormatting sqref="AF24">
    <cfRule type="colorScale" priority="273">
      <colorScale>
        <cfvo type="min"/>
        <cfvo type="max"/>
        <color rgb="FF63BE7B"/>
        <color rgb="FFFFEF9C"/>
      </colorScale>
    </cfRule>
  </conditionalFormatting>
  <conditionalFormatting sqref="AF28">
    <cfRule type="colorScale" priority="272">
      <colorScale>
        <cfvo type="min"/>
        <cfvo type="max"/>
        <color rgb="FF63BE7B"/>
        <color rgb="FFFFEF9C"/>
      </colorScale>
    </cfRule>
  </conditionalFormatting>
  <conditionalFormatting sqref="AF32">
    <cfRule type="colorScale" priority="271">
      <colorScale>
        <cfvo type="min"/>
        <cfvo type="max"/>
        <color rgb="FF63BE7B"/>
        <color rgb="FFFFEF9C"/>
      </colorScale>
    </cfRule>
  </conditionalFormatting>
  <conditionalFormatting sqref="AF36">
    <cfRule type="colorScale" priority="270">
      <colorScale>
        <cfvo type="min"/>
        <cfvo type="max"/>
        <color rgb="FF63BE7B"/>
        <color rgb="FFFFEF9C"/>
      </colorScale>
    </cfRule>
  </conditionalFormatting>
  <conditionalFormatting sqref="AF40">
    <cfRule type="colorScale" priority="269">
      <colorScale>
        <cfvo type="min"/>
        <cfvo type="max"/>
        <color rgb="FF63BE7B"/>
        <color rgb="FFFFEF9C"/>
      </colorScale>
    </cfRule>
  </conditionalFormatting>
  <conditionalFormatting sqref="AF44">
    <cfRule type="colorScale" priority="268">
      <colorScale>
        <cfvo type="min"/>
        <cfvo type="max"/>
        <color rgb="FF63BE7B"/>
        <color rgb="FFFFEF9C"/>
      </colorScale>
    </cfRule>
  </conditionalFormatting>
  <conditionalFormatting sqref="AF48">
    <cfRule type="colorScale" priority="267">
      <colorScale>
        <cfvo type="min"/>
        <cfvo type="max"/>
        <color rgb="FF63BE7B"/>
        <color rgb="FFFFEF9C"/>
      </colorScale>
    </cfRule>
  </conditionalFormatting>
  <conditionalFormatting sqref="AF52">
    <cfRule type="colorScale" priority="266">
      <colorScale>
        <cfvo type="min"/>
        <cfvo type="max"/>
        <color rgb="FF63BE7B"/>
        <color rgb="FFFFEF9C"/>
      </colorScale>
    </cfRule>
  </conditionalFormatting>
  <conditionalFormatting sqref="AF56">
    <cfRule type="colorScale" priority="265">
      <colorScale>
        <cfvo type="min"/>
        <cfvo type="max"/>
        <color rgb="FF63BE7B"/>
        <color rgb="FFFFEF9C"/>
      </colorScale>
    </cfRule>
  </conditionalFormatting>
  <conditionalFormatting sqref="AF60">
    <cfRule type="colorScale" priority="264">
      <colorScale>
        <cfvo type="min"/>
        <cfvo type="max"/>
        <color rgb="FF63BE7B"/>
        <color rgb="FFFFEF9C"/>
      </colorScale>
    </cfRule>
  </conditionalFormatting>
  <conditionalFormatting sqref="AF64">
    <cfRule type="colorScale" priority="263">
      <colorScale>
        <cfvo type="min"/>
        <cfvo type="max"/>
        <color rgb="FF63BE7B"/>
        <color rgb="FFFFEF9C"/>
      </colorScale>
    </cfRule>
  </conditionalFormatting>
  <conditionalFormatting sqref="AF68">
    <cfRule type="colorScale" priority="262">
      <colorScale>
        <cfvo type="min"/>
        <cfvo type="max"/>
        <color rgb="FF63BE7B"/>
        <color rgb="FFFFEF9C"/>
      </colorScale>
    </cfRule>
  </conditionalFormatting>
  <conditionalFormatting sqref="AH8:AJ10">
    <cfRule type="colorScale" priority="213">
      <colorScale>
        <cfvo type="min"/>
        <cfvo type="max"/>
        <color rgb="FFFCFCFF"/>
        <color rgb="FFF8696B"/>
      </colorScale>
    </cfRule>
  </conditionalFormatting>
  <conditionalFormatting sqref="AH12:AJ14">
    <cfRule type="colorScale" priority="212">
      <colorScale>
        <cfvo type="min"/>
        <cfvo type="max"/>
        <color rgb="FFFCFCFF"/>
        <color rgb="FFF8696B"/>
      </colorScale>
    </cfRule>
  </conditionalFormatting>
  <conditionalFormatting sqref="AH16:AJ18">
    <cfRule type="colorScale" priority="211">
      <colorScale>
        <cfvo type="min"/>
        <cfvo type="max"/>
        <color rgb="FFFCFCFF"/>
        <color rgb="FFF8696B"/>
      </colorScale>
    </cfRule>
  </conditionalFormatting>
  <conditionalFormatting sqref="AH20:AJ23">
    <cfRule type="colorScale" priority="210">
      <colorScale>
        <cfvo type="min"/>
        <cfvo type="max"/>
        <color rgb="FFFCFCFF"/>
        <color rgb="FFF8696B"/>
      </colorScale>
    </cfRule>
  </conditionalFormatting>
  <conditionalFormatting sqref="AH24:AJ26">
    <cfRule type="colorScale" priority="209">
      <colorScale>
        <cfvo type="min"/>
        <cfvo type="max"/>
        <color rgb="FFFCFCFF"/>
        <color rgb="FFF8696B"/>
      </colorScale>
    </cfRule>
  </conditionalFormatting>
  <conditionalFormatting sqref="AH28:AJ30">
    <cfRule type="colorScale" priority="208">
      <colorScale>
        <cfvo type="min"/>
        <cfvo type="max"/>
        <color rgb="FFFCFCFF"/>
        <color rgb="FFF8696B"/>
      </colorScale>
    </cfRule>
  </conditionalFormatting>
  <conditionalFormatting sqref="AH32:AJ34">
    <cfRule type="colorScale" priority="207">
      <colorScale>
        <cfvo type="min"/>
        <cfvo type="max"/>
        <color rgb="FFFCFCFF"/>
        <color rgb="FFF8696B"/>
      </colorScale>
    </cfRule>
  </conditionalFormatting>
  <conditionalFormatting sqref="AH36:AJ38">
    <cfRule type="colorScale" priority="206">
      <colorScale>
        <cfvo type="min"/>
        <cfvo type="max"/>
        <color rgb="FFFCFCFF"/>
        <color rgb="FFF8696B"/>
      </colorScale>
    </cfRule>
  </conditionalFormatting>
  <conditionalFormatting sqref="AH40:AJ42">
    <cfRule type="colorScale" priority="205">
      <colorScale>
        <cfvo type="min"/>
        <cfvo type="max"/>
        <color rgb="FFFCFCFF"/>
        <color rgb="FFF8696B"/>
      </colorScale>
    </cfRule>
  </conditionalFormatting>
  <conditionalFormatting sqref="AH44:AJ46">
    <cfRule type="colorScale" priority="204">
      <colorScale>
        <cfvo type="min"/>
        <cfvo type="max"/>
        <color rgb="FFFCFCFF"/>
        <color rgb="FFF8696B"/>
      </colorScale>
    </cfRule>
  </conditionalFormatting>
  <conditionalFormatting sqref="AH48:AJ50">
    <cfRule type="colorScale" priority="203">
      <colorScale>
        <cfvo type="min"/>
        <cfvo type="max"/>
        <color rgb="FFFCFCFF"/>
        <color rgb="FFF8696B"/>
      </colorScale>
    </cfRule>
  </conditionalFormatting>
  <conditionalFormatting sqref="AH52:AJ54">
    <cfRule type="colorScale" priority="202">
      <colorScale>
        <cfvo type="min"/>
        <cfvo type="max"/>
        <color rgb="FFFCFCFF"/>
        <color rgb="FFF8696B"/>
      </colorScale>
    </cfRule>
  </conditionalFormatting>
  <conditionalFormatting sqref="AH56:AJ58">
    <cfRule type="colorScale" priority="201">
      <colorScale>
        <cfvo type="min"/>
        <cfvo type="max"/>
        <color rgb="FFFCFCFF"/>
        <color rgb="FFF8696B"/>
      </colorScale>
    </cfRule>
  </conditionalFormatting>
  <conditionalFormatting sqref="AH60:AJ62">
    <cfRule type="colorScale" priority="200">
      <colorScale>
        <cfvo type="min"/>
        <cfvo type="max"/>
        <color rgb="FFFCFCFF"/>
        <color rgb="FFF8696B"/>
      </colorScale>
    </cfRule>
  </conditionalFormatting>
  <conditionalFormatting sqref="AH64:AJ66">
    <cfRule type="colorScale" priority="199">
      <colorScale>
        <cfvo type="min"/>
        <cfvo type="max"/>
        <color rgb="FFFCFCFF"/>
        <color rgb="FFF8696B"/>
      </colorScale>
    </cfRule>
  </conditionalFormatting>
  <conditionalFormatting sqref="AH68:AJ70">
    <cfRule type="colorScale" priority="198">
      <colorScale>
        <cfvo type="min"/>
        <cfvo type="max"/>
        <color rgb="FFFCFCFF"/>
        <color rgb="FFF8696B"/>
      </colorScale>
    </cfRule>
  </conditionalFormatting>
  <conditionalFormatting sqref="AL8">
    <cfRule type="colorScale" priority="197">
      <colorScale>
        <cfvo type="min"/>
        <cfvo type="max"/>
        <color rgb="FF63BE7B"/>
        <color rgb="FFFFEF9C"/>
      </colorScale>
    </cfRule>
  </conditionalFormatting>
  <conditionalFormatting sqref="AL12">
    <cfRule type="colorScale" priority="196">
      <colorScale>
        <cfvo type="min"/>
        <cfvo type="max"/>
        <color rgb="FF63BE7B"/>
        <color rgb="FFFFEF9C"/>
      </colorScale>
    </cfRule>
  </conditionalFormatting>
  <conditionalFormatting sqref="AL16">
    <cfRule type="colorScale" priority="195">
      <colorScale>
        <cfvo type="min"/>
        <cfvo type="max"/>
        <color rgb="FF63BE7B"/>
        <color rgb="FFFFEF9C"/>
      </colorScale>
    </cfRule>
  </conditionalFormatting>
  <conditionalFormatting sqref="AL20">
    <cfRule type="colorScale" priority="194">
      <colorScale>
        <cfvo type="min"/>
        <cfvo type="max"/>
        <color rgb="FF63BE7B"/>
        <color rgb="FFFFEF9C"/>
      </colorScale>
    </cfRule>
  </conditionalFormatting>
  <conditionalFormatting sqref="AL24">
    <cfRule type="colorScale" priority="193">
      <colorScale>
        <cfvo type="min"/>
        <cfvo type="max"/>
        <color rgb="FF63BE7B"/>
        <color rgb="FFFFEF9C"/>
      </colorScale>
    </cfRule>
  </conditionalFormatting>
  <conditionalFormatting sqref="AL28">
    <cfRule type="colorScale" priority="192">
      <colorScale>
        <cfvo type="min"/>
        <cfvo type="max"/>
        <color rgb="FF63BE7B"/>
        <color rgb="FFFFEF9C"/>
      </colorScale>
    </cfRule>
  </conditionalFormatting>
  <conditionalFormatting sqref="AL32">
    <cfRule type="colorScale" priority="191">
      <colorScale>
        <cfvo type="min"/>
        <cfvo type="max"/>
        <color rgb="FF63BE7B"/>
        <color rgb="FFFFEF9C"/>
      </colorScale>
    </cfRule>
  </conditionalFormatting>
  <conditionalFormatting sqref="AL36">
    <cfRule type="colorScale" priority="190">
      <colorScale>
        <cfvo type="min"/>
        <cfvo type="max"/>
        <color rgb="FF63BE7B"/>
        <color rgb="FFFFEF9C"/>
      </colorScale>
    </cfRule>
  </conditionalFormatting>
  <conditionalFormatting sqref="AL40">
    <cfRule type="colorScale" priority="189">
      <colorScale>
        <cfvo type="min"/>
        <cfvo type="max"/>
        <color rgb="FF63BE7B"/>
        <color rgb="FFFFEF9C"/>
      </colorScale>
    </cfRule>
  </conditionalFormatting>
  <conditionalFormatting sqref="AL44">
    <cfRule type="colorScale" priority="188">
      <colorScale>
        <cfvo type="min"/>
        <cfvo type="max"/>
        <color rgb="FF63BE7B"/>
        <color rgb="FFFFEF9C"/>
      </colorScale>
    </cfRule>
  </conditionalFormatting>
  <conditionalFormatting sqref="AL48">
    <cfRule type="colorScale" priority="187">
      <colorScale>
        <cfvo type="min"/>
        <cfvo type="max"/>
        <color rgb="FF63BE7B"/>
        <color rgb="FFFFEF9C"/>
      </colorScale>
    </cfRule>
  </conditionalFormatting>
  <conditionalFormatting sqref="AL52">
    <cfRule type="colorScale" priority="186">
      <colorScale>
        <cfvo type="min"/>
        <cfvo type="max"/>
        <color rgb="FF63BE7B"/>
        <color rgb="FFFFEF9C"/>
      </colorScale>
    </cfRule>
  </conditionalFormatting>
  <conditionalFormatting sqref="AL56">
    <cfRule type="colorScale" priority="185">
      <colorScale>
        <cfvo type="min"/>
        <cfvo type="max"/>
        <color rgb="FF63BE7B"/>
        <color rgb="FFFFEF9C"/>
      </colorScale>
    </cfRule>
  </conditionalFormatting>
  <conditionalFormatting sqref="AL60">
    <cfRule type="colorScale" priority="184">
      <colorScale>
        <cfvo type="min"/>
        <cfvo type="max"/>
        <color rgb="FF63BE7B"/>
        <color rgb="FFFFEF9C"/>
      </colorScale>
    </cfRule>
  </conditionalFormatting>
  <conditionalFormatting sqref="AL64">
    <cfRule type="colorScale" priority="183">
      <colorScale>
        <cfvo type="min"/>
        <cfvo type="max"/>
        <color rgb="FF63BE7B"/>
        <color rgb="FFFFEF9C"/>
      </colorScale>
    </cfRule>
  </conditionalFormatting>
  <conditionalFormatting sqref="AL68">
    <cfRule type="colorScale" priority="182">
      <colorScale>
        <cfvo type="min"/>
        <cfvo type="max"/>
        <color rgb="FF63BE7B"/>
        <color rgb="FFFFEF9C"/>
      </colorScale>
    </cfRule>
  </conditionalFormatting>
  <conditionalFormatting sqref="AN8:AP10">
    <cfRule type="colorScale" priority="181">
      <colorScale>
        <cfvo type="min"/>
        <cfvo type="max"/>
        <color rgb="FFFCFCFF"/>
        <color rgb="FFF8696B"/>
      </colorScale>
    </cfRule>
  </conditionalFormatting>
  <conditionalFormatting sqref="AN12:AP14">
    <cfRule type="colorScale" priority="180">
      <colorScale>
        <cfvo type="min"/>
        <cfvo type="max"/>
        <color rgb="FFFCFCFF"/>
        <color rgb="FFF8696B"/>
      </colorScale>
    </cfRule>
  </conditionalFormatting>
  <conditionalFormatting sqref="AN16:AP18">
    <cfRule type="colorScale" priority="179">
      <colorScale>
        <cfvo type="min"/>
        <cfvo type="max"/>
        <color rgb="FFFCFCFF"/>
        <color rgb="FFF8696B"/>
      </colorScale>
    </cfRule>
  </conditionalFormatting>
  <conditionalFormatting sqref="AN20:AP23">
    <cfRule type="colorScale" priority="178">
      <colorScale>
        <cfvo type="min"/>
        <cfvo type="max"/>
        <color rgb="FFFCFCFF"/>
        <color rgb="FFF8696B"/>
      </colorScale>
    </cfRule>
  </conditionalFormatting>
  <conditionalFormatting sqref="AN24:AP26">
    <cfRule type="colorScale" priority="177">
      <colorScale>
        <cfvo type="min"/>
        <cfvo type="max"/>
        <color rgb="FFFCFCFF"/>
        <color rgb="FFF8696B"/>
      </colorScale>
    </cfRule>
  </conditionalFormatting>
  <conditionalFormatting sqref="AN28:AP30">
    <cfRule type="colorScale" priority="176">
      <colorScale>
        <cfvo type="min"/>
        <cfvo type="max"/>
        <color rgb="FFFCFCFF"/>
        <color rgb="FFF8696B"/>
      </colorScale>
    </cfRule>
  </conditionalFormatting>
  <conditionalFormatting sqref="AN32:AP34">
    <cfRule type="colorScale" priority="175">
      <colorScale>
        <cfvo type="min"/>
        <cfvo type="max"/>
        <color rgb="FFFCFCFF"/>
        <color rgb="FFF8696B"/>
      </colorScale>
    </cfRule>
  </conditionalFormatting>
  <conditionalFormatting sqref="AN36:AP38">
    <cfRule type="colorScale" priority="174">
      <colorScale>
        <cfvo type="min"/>
        <cfvo type="max"/>
        <color rgb="FFFCFCFF"/>
        <color rgb="FFF8696B"/>
      </colorScale>
    </cfRule>
  </conditionalFormatting>
  <conditionalFormatting sqref="AN40:AP42">
    <cfRule type="colorScale" priority="173">
      <colorScale>
        <cfvo type="min"/>
        <cfvo type="max"/>
        <color rgb="FFFCFCFF"/>
        <color rgb="FFF8696B"/>
      </colorScale>
    </cfRule>
  </conditionalFormatting>
  <conditionalFormatting sqref="AN44:AP46">
    <cfRule type="colorScale" priority="172">
      <colorScale>
        <cfvo type="min"/>
        <cfvo type="max"/>
        <color rgb="FFFCFCFF"/>
        <color rgb="FFF8696B"/>
      </colorScale>
    </cfRule>
  </conditionalFormatting>
  <conditionalFormatting sqref="AN48:AP50">
    <cfRule type="colorScale" priority="171">
      <colorScale>
        <cfvo type="min"/>
        <cfvo type="max"/>
        <color rgb="FFFCFCFF"/>
        <color rgb="FFF8696B"/>
      </colorScale>
    </cfRule>
  </conditionalFormatting>
  <conditionalFormatting sqref="AN52:AP54">
    <cfRule type="colorScale" priority="170">
      <colorScale>
        <cfvo type="min"/>
        <cfvo type="max"/>
        <color rgb="FFFCFCFF"/>
        <color rgb="FFF8696B"/>
      </colorScale>
    </cfRule>
  </conditionalFormatting>
  <conditionalFormatting sqref="AN56:AP58">
    <cfRule type="colorScale" priority="169">
      <colorScale>
        <cfvo type="min"/>
        <cfvo type="max"/>
        <color rgb="FFFCFCFF"/>
        <color rgb="FFF8696B"/>
      </colorScale>
    </cfRule>
  </conditionalFormatting>
  <conditionalFormatting sqref="AN60:AP62">
    <cfRule type="colorScale" priority="168">
      <colorScale>
        <cfvo type="min"/>
        <cfvo type="max"/>
        <color rgb="FFFCFCFF"/>
        <color rgb="FFF8696B"/>
      </colorScale>
    </cfRule>
  </conditionalFormatting>
  <conditionalFormatting sqref="AN64:AP66">
    <cfRule type="colorScale" priority="167">
      <colorScale>
        <cfvo type="min"/>
        <cfvo type="max"/>
        <color rgb="FFFCFCFF"/>
        <color rgb="FFF8696B"/>
      </colorScale>
    </cfRule>
  </conditionalFormatting>
  <conditionalFormatting sqref="AN68:AP70">
    <cfRule type="colorScale" priority="166">
      <colorScale>
        <cfvo type="min"/>
        <cfvo type="max"/>
        <color rgb="FFFCFCFF"/>
        <color rgb="FFF8696B"/>
      </colorScale>
    </cfRule>
  </conditionalFormatting>
  <conditionalFormatting sqref="AR8">
    <cfRule type="colorScale" priority="165">
      <colorScale>
        <cfvo type="min"/>
        <cfvo type="max"/>
        <color rgb="FF63BE7B"/>
        <color rgb="FFFFEF9C"/>
      </colorScale>
    </cfRule>
  </conditionalFormatting>
  <conditionalFormatting sqref="AR12">
    <cfRule type="colorScale" priority="164">
      <colorScale>
        <cfvo type="min"/>
        <cfvo type="max"/>
        <color rgb="FF63BE7B"/>
        <color rgb="FFFFEF9C"/>
      </colorScale>
    </cfRule>
  </conditionalFormatting>
  <conditionalFormatting sqref="AR16">
    <cfRule type="colorScale" priority="163">
      <colorScale>
        <cfvo type="min"/>
        <cfvo type="max"/>
        <color rgb="FF63BE7B"/>
        <color rgb="FFFFEF9C"/>
      </colorScale>
    </cfRule>
  </conditionalFormatting>
  <conditionalFormatting sqref="AR20">
    <cfRule type="colorScale" priority="162">
      <colorScale>
        <cfvo type="min"/>
        <cfvo type="max"/>
        <color rgb="FF63BE7B"/>
        <color rgb="FFFFEF9C"/>
      </colorScale>
    </cfRule>
  </conditionalFormatting>
  <conditionalFormatting sqref="AR24">
    <cfRule type="colorScale" priority="161">
      <colorScale>
        <cfvo type="min"/>
        <cfvo type="max"/>
        <color rgb="FF63BE7B"/>
        <color rgb="FFFFEF9C"/>
      </colorScale>
    </cfRule>
  </conditionalFormatting>
  <conditionalFormatting sqref="AR28">
    <cfRule type="colorScale" priority="160">
      <colorScale>
        <cfvo type="min"/>
        <cfvo type="max"/>
        <color rgb="FF63BE7B"/>
        <color rgb="FFFFEF9C"/>
      </colorScale>
    </cfRule>
  </conditionalFormatting>
  <conditionalFormatting sqref="AR32">
    <cfRule type="colorScale" priority="159">
      <colorScale>
        <cfvo type="min"/>
        <cfvo type="max"/>
        <color rgb="FF63BE7B"/>
        <color rgb="FFFFEF9C"/>
      </colorScale>
    </cfRule>
  </conditionalFormatting>
  <conditionalFormatting sqref="AR36">
    <cfRule type="colorScale" priority="158">
      <colorScale>
        <cfvo type="min"/>
        <cfvo type="max"/>
        <color rgb="FF63BE7B"/>
        <color rgb="FFFFEF9C"/>
      </colorScale>
    </cfRule>
  </conditionalFormatting>
  <conditionalFormatting sqref="AR40">
    <cfRule type="colorScale" priority="157">
      <colorScale>
        <cfvo type="min"/>
        <cfvo type="max"/>
        <color rgb="FF63BE7B"/>
        <color rgb="FFFFEF9C"/>
      </colorScale>
    </cfRule>
  </conditionalFormatting>
  <conditionalFormatting sqref="AR44">
    <cfRule type="colorScale" priority="156">
      <colorScale>
        <cfvo type="min"/>
        <cfvo type="max"/>
        <color rgb="FF63BE7B"/>
        <color rgb="FFFFEF9C"/>
      </colorScale>
    </cfRule>
  </conditionalFormatting>
  <conditionalFormatting sqref="AR48">
    <cfRule type="colorScale" priority="155">
      <colorScale>
        <cfvo type="min"/>
        <cfvo type="max"/>
        <color rgb="FF63BE7B"/>
        <color rgb="FFFFEF9C"/>
      </colorScale>
    </cfRule>
  </conditionalFormatting>
  <conditionalFormatting sqref="AR52">
    <cfRule type="colorScale" priority="154">
      <colorScale>
        <cfvo type="min"/>
        <cfvo type="max"/>
        <color rgb="FF63BE7B"/>
        <color rgb="FFFFEF9C"/>
      </colorScale>
    </cfRule>
  </conditionalFormatting>
  <conditionalFormatting sqref="AR56">
    <cfRule type="colorScale" priority="153">
      <colorScale>
        <cfvo type="min"/>
        <cfvo type="max"/>
        <color rgb="FF63BE7B"/>
        <color rgb="FFFFEF9C"/>
      </colorScale>
    </cfRule>
  </conditionalFormatting>
  <conditionalFormatting sqref="AR60">
    <cfRule type="colorScale" priority="152">
      <colorScale>
        <cfvo type="min"/>
        <cfvo type="max"/>
        <color rgb="FF63BE7B"/>
        <color rgb="FFFFEF9C"/>
      </colorScale>
    </cfRule>
  </conditionalFormatting>
  <conditionalFormatting sqref="AR64">
    <cfRule type="colorScale" priority="151">
      <colorScale>
        <cfvo type="min"/>
        <cfvo type="max"/>
        <color rgb="FF63BE7B"/>
        <color rgb="FFFFEF9C"/>
      </colorScale>
    </cfRule>
  </conditionalFormatting>
  <conditionalFormatting sqref="AR68">
    <cfRule type="colorScale" priority="150">
      <colorScale>
        <cfvo type="min"/>
        <cfvo type="max"/>
        <color rgb="FF63BE7B"/>
        <color rgb="FFFFEF9C"/>
      </colorScale>
    </cfRule>
  </conditionalFormatting>
  <conditionalFormatting sqref="AT8:AV10">
    <cfRule type="colorScale" priority="149">
      <colorScale>
        <cfvo type="min"/>
        <cfvo type="max"/>
        <color rgb="FFFCFCFF"/>
        <color rgb="FFF8696B"/>
      </colorScale>
    </cfRule>
  </conditionalFormatting>
  <conditionalFormatting sqref="AT12:AV14">
    <cfRule type="colorScale" priority="148">
      <colorScale>
        <cfvo type="min"/>
        <cfvo type="max"/>
        <color rgb="FFFCFCFF"/>
        <color rgb="FFF8696B"/>
      </colorScale>
    </cfRule>
  </conditionalFormatting>
  <conditionalFormatting sqref="AT16:AV18">
    <cfRule type="colorScale" priority="147">
      <colorScale>
        <cfvo type="min"/>
        <cfvo type="max"/>
        <color rgb="FFFCFCFF"/>
        <color rgb="FFF8696B"/>
      </colorScale>
    </cfRule>
  </conditionalFormatting>
  <conditionalFormatting sqref="AT20:AV23">
    <cfRule type="colorScale" priority="146">
      <colorScale>
        <cfvo type="min"/>
        <cfvo type="max"/>
        <color rgb="FFFCFCFF"/>
        <color rgb="FFF8696B"/>
      </colorScale>
    </cfRule>
  </conditionalFormatting>
  <conditionalFormatting sqref="AT24:AV26">
    <cfRule type="colorScale" priority="145">
      <colorScale>
        <cfvo type="min"/>
        <cfvo type="max"/>
        <color rgb="FFFCFCFF"/>
        <color rgb="FFF8696B"/>
      </colorScale>
    </cfRule>
  </conditionalFormatting>
  <conditionalFormatting sqref="AT28:AV30">
    <cfRule type="colorScale" priority="144">
      <colorScale>
        <cfvo type="min"/>
        <cfvo type="max"/>
        <color rgb="FFFCFCFF"/>
        <color rgb="FFF8696B"/>
      </colorScale>
    </cfRule>
  </conditionalFormatting>
  <conditionalFormatting sqref="AT32:AV34">
    <cfRule type="colorScale" priority="143">
      <colorScale>
        <cfvo type="min"/>
        <cfvo type="max"/>
        <color rgb="FFFCFCFF"/>
        <color rgb="FFF8696B"/>
      </colorScale>
    </cfRule>
  </conditionalFormatting>
  <conditionalFormatting sqref="AT36:AV38">
    <cfRule type="colorScale" priority="142">
      <colorScale>
        <cfvo type="min"/>
        <cfvo type="max"/>
        <color rgb="FFFCFCFF"/>
        <color rgb="FFF8696B"/>
      </colorScale>
    </cfRule>
  </conditionalFormatting>
  <conditionalFormatting sqref="AT40:AV42">
    <cfRule type="colorScale" priority="141">
      <colorScale>
        <cfvo type="min"/>
        <cfvo type="max"/>
        <color rgb="FFFCFCFF"/>
        <color rgb="FFF8696B"/>
      </colorScale>
    </cfRule>
  </conditionalFormatting>
  <conditionalFormatting sqref="AT44:AV46">
    <cfRule type="colorScale" priority="140">
      <colorScale>
        <cfvo type="min"/>
        <cfvo type="max"/>
        <color rgb="FFFCFCFF"/>
        <color rgb="FFF8696B"/>
      </colorScale>
    </cfRule>
  </conditionalFormatting>
  <conditionalFormatting sqref="AT48:AV50">
    <cfRule type="colorScale" priority="139">
      <colorScale>
        <cfvo type="min"/>
        <cfvo type="max"/>
        <color rgb="FFFCFCFF"/>
        <color rgb="FFF8696B"/>
      </colorScale>
    </cfRule>
  </conditionalFormatting>
  <conditionalFormatting sqref="AT52:AV54">
    <cfRule type="colorScale" priority="138">
      <colorScale>
        <cfvo type="min"/>
        <cfvo type="max"/>
        <color rgb="FFFCFCFF"/>
        <color rgb="FFF8696B"/>
      </colorScale>
    </cfRule>
  </conditionalFormatting>
  <conditionalFormatting sqref="AT56:AV58">
    <cfRule type="colorScale" priority="137">
      <colorScale>
        <cfvo type="min"/>
        <cfvo type="max"/>
        <color rgb="FFFCFCFF"/>
        <color rgb="FFF8696B"/>
      </colorScale>
    </cfRule>
  </conditionalFormatting>
  <conditionalFormatting sqref="AT60:AV62">
    <cfRule type="colorScale" priority="136">
      <colorScale>
        <cfvo type="min"/>
        <cfvo type="max"/>
        <color rgb="FFFCFCFF"/>
        <color rgb="FFF8696B"/>
      </colorScale>
    </cfRule>
  </conditionalFormatting>
  <conditionalFormatting sqref="AT64:AV66">
    <cfRule type="colorScale" priority="135">
      <colorScale>
        <cfvo type="min"/>
        <cfvo type="max"/>
        <color rgb="FFFCFCFF"/>
        <color rgb="FFF8696B"/>
      </colorScale>
    </cfRule>
  </conditionalFormatting>
  <conditionalFormatting sqref="AT68:AV70">
    <cfRule type="colorScale" priority="134">
      <colorScale>
        <cfvo type="min"/>
        <cfvo type="max"/>
        <color rgb="FFFCFCFF"/>
        <color rgb="FFF8696B"/>
      </colorScale>
    </cfRule>
  </conditionalFormatting>
  <conditionalFormatting sqref="AX8">
    <cfRule type="colorScale" priority="133">
      <colorScale>
        <cfvo type="min"/>
        <cfvo type="max"/>
        <color rgb="FF63BE7B"/>
        <color rgb="FFFFEF9C"/>
      </colorScale>
    </cfRule>
  </conditionalFormatting>
  <conditionalFormatting sqref="AX12">
    <cfRule type="colorScale" priority="132">
      <colorScale>
        <cfvo type="min"/>
        <cfvo type="max"/>
        <color rgb="FF63BE7B"/>
        <color rgb="FFFFEF9C"/>
      </colorScale>
    </cfRule>
  </conditionalFormatting>
  <conditionalFormatting sqref="AX16">
    <cfRule type="colorScale" priority="131">
      <colorScale>
        <cfvo type="min"/>
        <cfvo type="max"/>
        <color rgb="FF63BE7B"/>
        <color rgb="FFFFEF9C"/>
      </colorScale>
    </cfRule>
  </conditionalFormatting>
  <conditionalFormatting sqref="AX20">
    <cfRule type="colorScale" priority="130">
      <colorScale>
        <cfvo type="min"/>
        <cfvo type="max"/>
        <color rgb="FF63BE7B"/>
        <color rgb="FFFFEF9C"/>
      </colorScale>
    </cfRule>
  </conditionalFormatting>
  <conditionalFormatting sqref="AX24">
    <cfRule type="colorScale" priority="129">
      <colorScale>
        <cfvo type="min"/>
        <cfvo type="max"/>
        <color rgb="FF63BE7B"/>
        <color rgb="FFFFEF9C"/>
      </colorScale>
    </cfRule>
  </conditionalFormatting>
  <conditionalFormatting sqref="AX28">
    <cfRule type="colorScale" priority="128">
      <colorScale>
        <cfvo type="min"/>
        <cfvo type="max"/>
        <color rgb="FF63BE7B"/>
        <color rgb="FFFFEF9C"/>
      </colorScale>
    </cfRule>
  </conditionalFormatting>
  <conditionalFormatting sqref="AX32">
    <cfRule type="colorScale" priority="127">
      <colorScale>
        <cfvo type="min"/>
        <cfvo type="max"/>
        <color rgb="FF63BE7B"/>
        <color rgb="FFFFEF9C"/>
      </colorScale>
    </cfRule>
  </conditionalFormatting>
  <conditionalFormatting sqref="AX36">
    <cfRule type="colorScale" priority="126">
      <colorScale>
        <cfvo type="min"/>
        <cfvo type="max"/>
        <color rgb="FF63BE7B"/>
        <color rgb="FFFFEF9C"/>
      </colorScale>
    </cfRule>
  </conditionalFormatting>
  <conditionalFormatting sqref="AX40">
    <cfRule type="colorScale" priority="125">
      <colorScale>
        <cfvo type="min"/>
        <cfvo type="max"/>
        <color rgb="FF63BE7B"/>
        <color rgb="FFFFEF9C"/>
      </colorScale>
    </cfRule>
  </conditionalFormatting>
  <conditionalFormatting sqref="AX44">
    <cfRule type="colorScale" priority="124">
      <colorScale>
        <cfvo type="min"/>
        <cfvo type="max"/>
        <color rgb="FF63BE7B"/>
        <color rgb="FFFFEF9C"/>
      </colorScale>
    </cfRule>
  </conditionalFormatting>
  <conditionalFormatting sqref="AX48">
    <cfRule type="colorScale" priority="123">
      <colorScale>
        <cfvo type="min"/>
        <cfvo type="max"/>
        <color rgb="FF63BE7B"/>
        <color rgb="FFFFEF9C"/>
      </colorScale>
    </cfRule>
  </conditionalFormatting>
  <conditionalFormatting sqref="AX52">
    <cfRule type="colorScale" priority="122">
      <colorScale>
        <cfvo type="min"/>
        <cfvo type="max"/>
        <color rgb="FF63BE7B"/>
        <color rgb="FFFFEF9C"/>
      </colorScale>
    </cfRule>
  </conditionalFormatting>
  <conditionalFormatting sqref="AX56">
    <cfRule type="colorScale" priority="121">
      <colorScale>
        <cfvo type="min"/>
        <cfvo type="max"/>
        <color rgb="FF63BE7B"/>
        <color rgb="FFFFEF9C"/>
      </colorScale>
    </cfRule>
  </conditionalFormatting>
  <conditionalFormatting sqref="AX60">
    <cfRule type="colorScale" priority="120">
      <colorScale>
        <cfvo type="min"/>
        <cfvo type="max"/>
        <color rgb="FF63BE7B"/>
        <color rgb="FFFFEF9C"/>
      </colorScale>
    </cfRule>
  </conditionalFormatting>
  <conditionalFormatting sqref="AX64">
    <cfRule type="colorScale" priority="119">
      <colorScale>
        <cfvo type="min"/>
        <cfvo type="max"/>
        <color rgb="FF63BE7B"/>
        <color rgb="FFFFEF9C"/>
      </colorScale>
    </cfRule>
  </conditionalFormatting>
  <conditionalFormatting sqref="AX68">
    <cfRule type="colorScale" priority="118">
      <colorScale>
        <cfvo type="min"/>
        <cfvo type="max"/>
        <color rgb="FF63BE7B"/>
        <color rgb="FFFFEF9C"/>
      </colorScale>
    </cfRule>
  </conditionalFormatting>
  <conditionalFormatting sqref="AZ8:BB10">
    <cfRule type="colorScale" priority="117">
      <colorScale>
        <cfvo type="min"/>
        <cfvo type="max"/>
        <color rgb="FFFCFCFF"/>
        <color rgb="FFF8696B"/>
      </colorScale>
    </cfRule>
  </conditionalFormatting>
  <conditionalFormatting sqref="AZ12:BB14">
    <cfRule type="colorScale" priority="116">
      <colorScale>
        <cfvo type="min"/>
        <cfvo type="max"/>
        <color rgb="FFFCFCFF"/>
        <color rgb="FFF8696B"/>
      </colorScale>
    </cfRule>
  </conditionalFormatting>
  <conditionalFormatting sqref="AZ16:BB18">
    <cfRule type="colorScale" priority="115">
      <colorScale>
        <cfvo type="min"/>
        <cfvo type="max"/>
        <color rgb="FFFCFCFF"/>
        <color rgb="FFF8696B"/>
      </colorScale>
    </cfRule>
  </conditionalFormatting>
  <conditionalFormatting sqref="AZ20:BB23">
    <cfRule type="colorScale" priority="114">
      <colorScale>
        <cfvo type="min"/>
        <cfvo type="max"/>
        <color rgb="FFFCFCFF"/>
        <color rgb="FFF8696B"/>
      </colorScale>
    </cfRule>
  </conditionalFormatting>
  <conditionalFormatting sqref="AZ24:BB26">
    <cfRule type="colorScale" priority="113">
      <colorScale>
        <cfvo type="min"/>
        <cfvo type="max"/>
        <color rgb="FFFCFCFF"/>
        <color rgb="FFF8696B"/>
      </colorScale>
    </cfRule>
  </conditionalFormatting>
  <conditionalFormatting sqref="AZ28:BB30">
    <cfRule type="colorScale" priority="112">
      <colorScale>
        <cfvo type="min"/>
        <cfvo type="max"/>
        <color rgb="FFFCFCFF"/>
        <color rgb="FFF8696B"/>
      </colorScale>
    </cfRule>
  </conditionalFormatting>
  <conditionalFormatting sqref="AZ32:BB34">
    <cfRule type="colorScale" priority="111">
      <colorScale>
        <cfvo type="min"/>
        <cfvo type="max"/>
        <color rgb="FFFCFCFF"/>
        <color rgb="FFF8696B"/>
      </colorScale>
    </cfRule>
  </conditionalFormatting>
  <conditionalFormatting sqref="AZ36:BB38">
    <cfRule type="colorScale" priority="110">
      <colorScale>
        <cfvo type="min"/>
        <cfvo type="max"/>
        <color rgb="FFFCFCFF"/>
        <color rgb="FFF8696B"/>
      </colorScale>
    </cfRule>
  </conditionalFormatting>
  <conditionalFormatting sqref="AZ40:BB42">
    <cfRule type="colorScale" priority="109">
      <colorScale>
        <cfvo type="min"/>
        <cfvo type="max"/>
        <color rgb="FFFCFCFF"/>
        <color rgb="FFF8696B"/>
      </colorScale>
    </cfRule>
  </conditionalFormatting>
  <conditionalFormatting sqref="AZ44:BB46">
    <cfRule type="colorScale" priority="108">
      <colorScale>
        <cfvo type="min"/>
        <cfvo type="max"/>
        <color rgb="FFFCFCFF"/>
        <color rgb="FFF8696B"/>
      </colorScale>
    </cfRule>
  </conditionalFormatting>
  <conditionalFormatting sqref="AZ48:BB50">
    <cfRule type="colorScale" priority="107">
      <colorScale>
        <cfvo type="min"/>
        <cfvo type="max"/>
        <color rgb="FFFCFCFF"/>
        <color rgb="FFF8696B"/>
      </colorScale>
    </cfRule>
  </conditionalFormatting>
  <conditionalFormatting sqref="AZ52:BB54">
    <cfRule type="colorScale" priority="106">
      <colorScale>
        <cfvo type="min"/>
        <cfvo type="max"/>
        <color rgb="FFFCFCFF"/>
        <color rgb="FFF8696B"/>
      </colorScale>
    </cfRule>
  </conditionalFormatting>
  <conditionalFormatting sqref="AZ56:BB58">
    <cfRule type="colorScale" priority="105">
      <colorScale>
        <cfvo type="min"/>
        <cfvo type="max"/>
        <color rgb="FFFCFCFF"/>
        <color rgb="FFF8696B"/>
      </colorScale>
    </cfRule>
  </conditionalFormatting>
  <conditionalFormatting sqref="AZ60:BB62">
    <cfRule type="colorScale" priority="104">
      <colorScale>
        <cfvo type="min"/>
        <cfvo type="max"/>
        <color rgb="FFFCFCFF"/>
        <color rgb="FFF8696B"/>
      </colorScale>
    </cfRule>
  </conditionalFormatting>
  <conditionalFormatting sqref="AZ64:BB66">
    <cfRule type="colorScale" priority="103">
      <colorScale>
        <cfvo type="min"/>
        <cfvo type="max"/>
        <color rgb="FFFCFCFF"/>
        <color rgb="FFF8696B"/>
      </colorScale>
    </cfRule>
  </conditionalFormatting>
  <conditionalFormatting sqref="AZ68:BB70">
    <cfRule type="colorScale" priority="102">
      <colorScale>
        <cfvo type="min"/>
        <cfvo type="max"/>
        <color rgb="FFFCFCFF"/>
        <color rgb="FFF8696B"/>
      </colorScale>
    </cfRule>
  </conditionalFormatting>
  <conditionalFormatting sqref="BD8">
    <cfRule type="colorScale" priority="101">
      <colorScale>
        <cfvo type="min"/>
        <cfvo type="max"/>
        <color rgb="FF63BE7B"/>
        <color rgb="FFFFEF9C"/>
      </colorScale>
    </cfRule>
  </conditionalFormatting>
  <conditionalFormatting sqref="BF8:BH10">
    <cfRule type="colorScale" priority="100">
      <colorScale>
        <cfvo type="min"/>
        <cfvo type="max"/>
        <color rgb="FFFCFCFF"/>
        <color rgb="FFF8696B"/>
      </colorScale>
    </cfRule>
  </conditionalFormatting>
  <conditionalFormatting sqref="BD12">
    <cfRule type="colorScale" priority="93">
      <colorScale>
        <cfvo type="min"/>
        <cfvo type="max"/>
        <color rgb="FF63BE7B"/>
        <color rgb="FFFFEF9C"/>
      </colorScale>
    </cfRule>
  </conditionalFormatting>
  <conditionalFormatting sqref="BF12:BH14">
    <cfRule type="colorScale" priority="92">
      <colorScale>
        <cfvo type="min"/>
        <cfvo type="max"/>
        <color rgb="FFFCFCFF"/>
        <color rgb="FFF8696B"/>
      </colorScale>
    </cfRule>
  </conditionalFormatting>
  <conditionalFormatting sqref="BD16">
    <cfRule type="colorScale" priority="91">
      <colorScale>
        <cfvo type="min"/>
        <cfvo type="max"/>
        <color rgb="FF63BE7B"/>
        <color rgb="FFFFEF9C"/>
      </colorScale>
    </cfRule>
  </conditionalFormatting>
  <conditionalFormatting sqref="BF16:BH18">
    <cfRule type="colorScale" priority="90">
      <colorScale>
        <cfvo type="min"/>
        <cfvo type="max"/>
        <color rgb="FFFCFCFF"/>
        <color rgb="FFF8696B"/>
      </colorScale>
    </cfRule>
  </conditionalFormatting>
  <conditionalFormatting sqref="BD20">
    <cfRule type="colorScale" priority="89">
      <colorScale>
        <cfvo type="min"/>
        <cfvo type="max"/>
        <color rgb="FF63BE7B"/>
        <color rgb="FFFFEF9C"/>
      </colorScale>
    </cfRule>
  </conditionalFormatting>
  <conditionalFormatting sqref="BF20:BH22">
    <cfRule type="colorScale" priority="88">
      <colorScale>
        <cfvo type="min"/>
        <cfvo type="max"/>
        <color rgb="FFFCFCFF"/>
        <color rgb="FFF8696B"/>
      </colorScale>
    </cfRule>
  </conditionalFormatting>
  <conditionalFormatting sqref="BJ8:BJ43">
    <cfRule type="colorScale" priority="8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L8:BL43">
    <cfRule type="colorScale" priority="8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N8:BV43">
    <cfRule type="colorScale" priority="85">
      <colorScale>
        <cfvo type="min"/>
        <cfvo type="max"/>
        <color rgb="FF63BE7B"/>
        <color rgb="FFFFEF9C"/>
      </colorScale>
    </cfRule>
  </conditionalFormatting>
  <conditionalFormatting sqref="BX8:CF8">
    <cfRule type="colorScale" priority="84">
      <colorScale>
        <cfvo type="min"/>
        <cfvo type="max"/>
        <color rgb="FFFCFCFF"/>
        <color rgb="FFF8696B"/>
      </colorScale>
    </cfRule>
  </conditionalFormatting>
  <conditionalFormatting sqref="BX10:BZ12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2:N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D14">
    <cfRule type="colorScale" priority="81">
      <colorScale>
        <cfvo type="min"/>
        <cfvo type="max"/>
        <color rgb="FFFFEF9C"/>
        <color rgb="FF63BE7B"/>
      </colorScale>
    </cfRule>
  </conditionalFormatting>
  <conditionalFormatting sqref="CH8">
    <cfRule type="colorScale" priority="80">
      <colorScale>
        <cfvo type="min"/>
        <cfvo type="max"/>
        <color rgb="FF63BE7B"/>
        <color rgb="FFFFEF9C"/>
      </colorScale>
    </cfRule>
  </conditionalFormatting>
  <conditionalFormatting sqref="CH12">
    <cfRule type="colorScale" priority="79">
      <colorScale>
        <cfvo type="min"/>
        <cfvo type="max"/>
        <color rgb="FF63BE7B"/>
        <color rgb="FFFFEF9C"/>
      </colorScale>
    </cfRule>
  </conditionalFormatting>
  <conditionalFormatting sqref="CH16">
    <cfRule type="colorScale" priority="78">
      <colorScale>
        <cfvo type="min"/>
        <cfvo type="max"/>
        <color rgb="FF63BE7B"/>
        <color rgb="FFFFEF9C"/>
      </colorScale>
    </cfRule>
  </conditionalFormatting>
  <conditionalFormatting sqref="CH20">
    <cfRule type="colorScale" priority="77">
      <colorScale>
        <cfvo type="min"/>
        <cfvo type="max"/>
        <color rgb="FF63BE7B"/>
        <color rgb="FFFFEF9C"/>
      </colorScale>
    </cfRule>
  </conditionalFormatting>
  <conditionalFormatting sqref="CH24">
    <cfRule type="colorScale" priority="76">
      <colorScale>
        <cfvo type="min"/>
        <cfvo type="max"/>
        <color rgb="FF63BE7B"/>
        <color rgb="FFFFEF9C"/>
      </colorScale>
    </cfRule>
  </conditionalFormatting>
  <conditionalFormatting sqref="CH28">
    <cfRule type="colorScale" priority="75">
      <colorScale>
        <cfvo type="min"/>
        <cfvo type="max"/>
        <color rgb="FF63BE7B"/>
        <color rgb="FFFFEF9C"/>
      </colorScale>
    </cfRule>
  </conditionalFormatting>
  <conditionalFormatting sqref="CH32">
    <cfRule type="colorScale" priority="74">
      <colorScale>
        <cfvo type="min"/>
        <cfvo type="max"/>
        <color rgb="FF63BE7B"/>
        <color rgb="FFFFEF9C"/>
      </colorScale>
    </cfRule>
  </conditionalFormatting>
  <conditionalFormatting sqref="CH36">
    <cfRule type="colorScale" priority="73">
      <colorScale>
        <cfvo type="min"/>
        <cfvo type="max"/>
        <color rgb="FF63BE7B"/>
        <color rgb="FFFFEF9C"/>
      </colorScale>
    </cfRule>
  </conditionalFormatting>
  <conditionalFormatting sqref="CH40">
    <cfRule type="colorScale" priority="72">
      <colorScale>
        <cfvo type="min"/>
        <cfvo type="max"/>
        <color rgb="FF63BE7B"/>
        <color rgb="FFFFEF9C"/>
      </colorScale>
    </cfRule>
  </conditionalFormatting>
  <conditionalFormatting sqref="CH44">
    <cfRule type="colorScale" priority="71">
      <colorScale>
        <cfvo type="min"/>
        <cfvo type="max"/>
        <color rgb="FF63BE7B"/>
        <color rgb="FFFFEF9C"/>
      </colorScale>
    </cfRule>
  </conditionalFormatting>
  <conditionalFormatting sqref="CH48">
    <cfRule type="colorScale" priority="70">
      <colorScale>
        <cfvo type="min"/>
        <cfvo type="max"/>
        <color rgb="FF63BE7B"/>
        <color rgb="FFFFEF9C"/>
      </colorScale>
    </cfRule>
  </conditionalFormatting>
  <conditionalFormatting sqref="CH52">
    <cfRule type="colorScale" priority="69">
      <colorScale>
        <cfvo type="min"/>
        <cfvo type="max"/>
        <color rgb="FF63BE7B"/>
        <color rgb="FFFFEF9C"/>
      </colorScale>
    </cfRule>
  </conditionalFormatting>
  <conditionalFormatting sqref="CH56">
    <cfRule type="colorScale" priority="68">
      <colorScale>
        <cfvo type="min"/>
        <cfvo type="max"/>
        <color rgb="FF63BE7B"/>
        <color rgb="FFFFEF9C"/>
      </colorScale>
    </cfRule>
  </conditionalFormatting>
  <conditionalFormatting sqref="CH60">
    <cfRule type="colorScale" priority="67">
      <colorScale>
        <cfvo type="min"/>
        <cfvo type="max"/>
        <color rgb="FF63BE7B"/>
        <color rgb="FFFFEF9C"/>
      </colorScale>
    </cfRule>
  </conditionalFormatting>
  <conditionalFormatting sqref="CH64">
    <cfRule type="colorScale" priority="66">
      <colorScale>
        <cfvo type="min"/>
        <cfvo type="max"/>
        <color rgb="FF63BE7B"/>
        <color rgb="FFFFEF9C"/>
      </colorScale>
    </cfRule>
  </conditionalFormatting>
  <conditionalFormatting sqref="CH68">
    <cfRule type="colorScale" priority="65">
      <colorScale>
        <cfvo type="min"/>
        <cfvo type="max"/>
        <color rgb="FF63BE7B"/>
        <color rgb="FFFFEF9C"/>
      </colorScale>
    </cfRule>
  </conditionalFormatting>
  <conditionalFormatting sqref="CJ8:CL10">
    <cfRule type="colorScale" priority="64">
      <colorScale>
        <cfvo type="min"/>
        <cfvo type="max"/>
        <color rgb="FFFCFCFF"/>
        <color rgb="FFF8696B"/>
      </colorScale>
    </cfRule>
  </conditionalFormatting>
  <conditionalFormatting sqref="CJ12:CL14">
    <cfRule type="colorScale" priority="63">
      <colorScale>
        <cfvo type="min"/>
        <cfvo type="max"/>
        <color rgb="FFFCFCFF"/>
        <color rgb="FFF8696B"/>
      </colorScale>
    </cfRule>
  </conditionalFormatting>
  <conditionalFormatting sqref="CJ16:CL18">
    <cfRule type="colorScale" priority="62">
      <colorScale>
        <cfvo type="min"/>
        <cfvo type="max"/>
        <color rgb="FFFCFCFF"/>
        <color rgb="FFF8696B"/>
      </colorScale>
    </cfRule>
  </conditionalFormatting>
  <conditionalFormatting sqref="CJ20:CL23">
    <cfRule type="colorScale" priority="61">
      <colorScale>
        <cfvo type="min"/>
        <cfvo type="max"/>
        <color rgb="FFFCFCFF"/>
        <color rgb="FFF8696B"/>
      </colorScale>
    </cfRule>
  </conditionalFormatting>
  <conditionalFormatting sqref="CJ24:CL26">
    <cfRule type="colorScale" priority="60">
      <colorScale>
        <cfvo type="min"/>
        <cfvo type="max"/>
        <color rgb="FFFCFCFF"/>
        <color rgb="FFF8696B"/>
      </colorScale>
    </cfRule>
  </conditionalFormatting>
  <conditionalFormatting sqref="CJ28:CL30">
    <cfRule type="colorScale" priority="59">
      <colorScale>
        <cfvo type="min"/>
        <cfvo type="max"/>
        <color rgb="FFFCFCFF"/>
        <color rgb="FFF8696B"/>
      </colorScale>
    </cfRule>
  </conditionalFormatting>
  <conditionalFormatting sqref="CJ32:CL34">
    <cfRule type="colorScale" priority="58">
      <colorScale>
        <cfvo type="min"/>
        <cfvo type="max"/>
        <color rgb="FFFCFCFF"/>
        <color rgb="FFF8696B"/>
      </colorScale>
    </cfRule>
  </conditionalFormatting>
  <conditionalFormatting sqref="CJ36:CL38">
    <cfRule type="colorScale" priority="57">
      <colorScale>
        <cfvo type="min"/>
        <cfvo type="max"/>
        <color rgb="FFFCFCFF"/>
        <color rgb="FFF8696B"/>
      </colorScale>
    </cfRule>
  </conditionalFormatting>
  <conditionalFormatting sqref="CJ40:CL42">
    <cfRule type="colorScale" priority="56">
      <colorScale>
        <cfvo type="min"/>
        <cfvo type="max"/>
        <color rgb="FFFCFCFF"/>
        <color rgb="FFF8696B"/>
      </colorScale>
    </cfRule>
  </conditionalFormatting>
  <conditionalFormatting sqref="CJ44:CL46">
    <cfRule type="colorScale" priority="55">
      <colorScale>
        <cfvo type="min"/>
        <cfvo type="max"/>
        <color rgb="FFFCFCFF"/>
        <color rgb="FFF8696B"/>
      </colorScale>
    </cfRule>
  </conditionalFormatting>
  <conditionalFormatting sqref="CJ48:CL50">
    <cfRule type="colorScale" priority="54">
      <colorScale>
        <cfvo type="min"/>
        <cfvo type="max"/>
        <color rgb="FFFCFCFF"/>
        <color rgb="FFF8696B"/>
      </colorScale>
    </cfRule>
  </conditionalFormatting>
  <conditionalFormatting sqref="CJ52:CL54">
    <cfRule type="colorScale" priority="53">
      <colorScale>
        <cfvo type="min"/>
        <cfvo type="max"/>
        <color rgb="FFFCFCFF"/>
        <color rgb="FFF8696B"/>
      </colorScale>
    </cfRule>
  </conditionalFormatting>
  <conditionalFormatting sqref="CJ56:CL58">
    <cfRule type="colorScale" priority="52">
      <colorScale>
        <cfvo type="min"/>
        <cfvo type="max"/>
        <color rgb="FFFCFCFF"/>
        <color rgb="FFF8696B"/>
      </colorScale>
    </cfRule>
  </conditionalFormatting>
  <conditionalFormatting sqref="CJ60:CL62">
    <cfRule type="colorScale" priority="51">
      <colorScale>
        <cfvo type="min"/>
        <cfvo type="max"/>
        <color rgb="FFFCFCFF"/>
        <color rgb="FFF8696B"/>
      </colorScale>
    </cfRule>
  </conditionalFormatting>
  <conditionalFormatting sqref="CJ64:CL66">
    <cfRule type="colorScale" priority="50">
      <colorScale>
        <cfvo type="min"/>
        <cfvo type="max"/>
        <color rgb="FFFCFCFF"/>
        <color rgb="FFF8696B"/>
      </colorScale>
    </cfRule>
  </conditionalFormatting>
  <conditionalFormatting sqref="CJ68:CL70">
    <cfRule type="colorScale" priority="49">
      <colorScale>
        <cfvo type="min"/>
        <cfvo type="max"/>
        <color rgb="FFFCFCFF"/>
        <color rgb="FFF8696B"/>
      </colorScale>
    </cfRule>
  </conditionalFormatting>
  <conditionalFormatting sqref="CN8">
    <cfRule type="colorScale" priority="48">
      <colorScale>
        <cfvo type="min"/>
        <cfvo type="max"/>
        <color rgb="FF63BE7B"/>
        <color rgb="FFFFEF9C"/>
      </colorScale>
    </cfRule>
  </conditionalFormatting>
  <conditionalFormatting sqref="CN12">
    <cfRule type="colorScale" priority="47">
      <colorScale>
        <cfvo type="min"/>
        <cfvo type="max"/>
        <color rgb="FF63BE7B"/>
        <color rgb="FFFFEF9C"/>
      </colorScale>
    </cfRule>
  </conditionalFormatting>
  <conditionalFormatting sqref="CN16">
    <cfRule type="colorScale" priority="46">
      <colorScale>
        <cfvo type="min"/>
        <cfvo type="max"/>
        <color rgb="FF63BE7B"/>
        <color rgb="FFFFEF9C"/>
      </colorScale>
    </cfRule>
  </conditionalFormatting>
  <conditionalFormatting sqref="CN20">
    <cfRule type="colorScale" priority="45">
      <colorScale>
        <cfvo type="min"/>
        <cfvo type="max"/>
        <color rgb="FF63BE7B"/>
        <color rgb="FFFFEF9C"/>
      </colorScale>
    </cfRule>
  </conditionalFormatting>
  <conditionalFormatting sqref="CN24">
    <cfRule type="colorScale" priority="44">
      <colorScale>
        <cfvo type="min"/>
        <cfvo type="max"/>
        <color rgb="FF63BE7B"/>
        <color rgb="FFFFEF9C"/>
      </colorScale>
    </cfRule>
  </conditionalFormatting>
  <conditionalFormatting sqref="CN28">
    <cfRule type="colorScale" priority="43">
      <colorScale>
        <cfvo type="min"/>
        <cfvo type="max"/>
        <color rgb="FF63BE7B"/>
        <color rgb="FFFFEF9C"/>
      </colorScale>
    </cfRule>
  </conditionalFormatting>
  <conditionalFormatting sqref="CN32">
    <cfRule type="colorScale" priority="42">
      <colorScale>
        <cfvo type="min"/>
        <cfvo type="max"/>
        <color rgb="FF63BE7B"/>
        <color rgb="FFFFEF9C"/>
      </colorScale>
    </cfRule>
  </conditionalFormatting>
  <conditionalFormatting sqref="CN36">
    <cfRule type="colorScale" priority="41">
      <colorScale>
        <cfvo type="min"/>
        <cfvo type="max"/>
        <color rgb="FF63BE7B"/>
        <color rgb="FFFFEF9C"/>
      </colorScale>
    </cfRule>
  </conditionalFormatting>
  <conditionalFormatting sqref="CN40">
    <cfRule type="colorScale" priority="40">
      <colorScale>
        <cfvo type="min"/>
        <cfvo type="max"/>
        <color rgb="FF63BE7B"/>
        <color rgb="FFFFEF9C"/>
      </colorScale>
    </cfRule>
  </conditionalFormatting>
  <conditionalFormatting sqref="CN44">
    <cfRule type="colorScale" priority="39">
      <colorScale>
        <cfvo type="min"/>
        <cfvo type="max"/>
        <color rgb="FF63BE7B"/>
        <color rgb="FFFFEF9C"/>
      </colorScale>
    </cfRule>
  </conditionalFormatting>
  <conditionalFormatting sqref="CN48">
    <cfRule type="colorScale" priority="38">
      <colorScale>
        <cfvo type="min"/>
        <cfvo type="max"/>
        <color rgb="FF63BE7B"/>
        <color rgb="FFFFEF9C"/>
      </colorScale>
    </cfRule>
  </conditionalFormatting>
  <conditionalFormatting sqref="CN52">
    <cfRule type="colorScale" priority="37">
      <colorScale>
        <cfvo type="min"/>
        <cfvo type="max"/>
        <color rgb="FF63BE7B"/>
        <color rgb="FFFFEF9C"/>
      </colorScale>
    </cfRule>
  </conditionalFormatting>
  <conditionalFormatting sqref="CN56">
    <cfRule type="colorScale" priority="36">
      <colorScale>
        <cfvo type="min"/>
        <cfvo type="max"/>
        <color rgb="FF63BE7B"/>
        <color rgb="FFFFEF9C"/>
      </colorScale>
    </cfRule>
  </conditionalFormatting>
  <conditionalFormatting sqref="CN60">
    <cfRule type="colorScale" priority="35">
      <colorScale>
        <cfvo type="min"/>
        <cfvo type="max"/>
        <color rgb="FF63BE7B"/>
        <color rgb="FFFFEF9C"/>
      </colorScale>
    </cfRule>
  </conditionalFormatting>
  <conditionalFormatting sqref="CN64">
    <cfRule type="colorScale" priority="34">
      <colorScale>
        <cfvo type="min"/>
        <cfvo type="max"/>
        <color rgb="FF63BE7B"/>
        <color rgb="FFFFEF9C"/>
      </colorScale>
    </cfRule>
  </conditionalFormatting>
  <conditionalFormatting sqref="CN68">
    <cfRule type="colorScale" priority="33">
      <colorScale>
        <cfvo type="min"/>
        <cfvo type="max"/>
        <color rgb="FF63BE7B"/>
        <color rgb="FFFFEF9C"/>
      </colorScale>
    </cfRule>
  </conditionalFormatting>
  <conditionalFormatting sqref="CP8:CR10">
    <cfRule type="colorScale" priority="32">
      <colorScale>
        <cfvo type="min"/>
        <cfvo type="max"/>
        <color rgb="FFFCFCFF"/>
        <color rgb="FFF8696B"/>
      </colorScale>
    </cfRule>
  </conditionalFormatting>
  <conditionalFormatting sqref="CP12:CR14">
    <cfRule type="colorScale" priority="31">
      <colorScale>
        <cfvo type="min"/>
        <cfvo type="max"/>
        <color rgb="FFFCFCFF"/>
        <color rgb="FFF8696B"/>
      </colorScale>
    </cfRule>
  </conditionalFormatting>
  <conditionalFormatting sqref="CP16:CR18">
    <cfRule type="colorScale" priority="30">
      <colorScale>
        <cfvo type="min"/>
        <cfvo type="max"/>
        <color rgb="FFFCFCFF"/>
        <color rgb="FFF8696B"/>
      </colorScale>
    </cfRule>
  </conditionalFormatting>
  <conditionalFormatting sqref="CP20:CR23">
    <cfRule type="colorScale" priority="29">
      <colorScale>
        <cfvo type="min"/>
        <cfvo type="max"/>
        <color rgb="FFFCFCFF"/>
        <color rgb="FFF8696B"/>
      </colorScale>
    </cfRule>
  </conditionalFormatting>
  <conditionalFormatting sqref="CP24:CR26">
    <cfRule type="colorScale" priority="28">
      <colorScale>
        <cfvo type="min"/>
        <cfvo type="max"/>
        <color rgb="FFFCFCFF"/>
        <color rgb="FFF8696B"/>
      </colorScale>
    </cfRule>
  </conditionalFormatting>
  <conditionalFormatting sqref="CP28:CR30">
    <cfRule type="colorScale" priority="27">
      <colorScale>
        <cfvo type="min"/>
        <cfvo type="max"/>
        <color rgb="FFFCFCFF"/>
        <color rgb="FFF8696B"/>
      </colorScale>
    </cfRule>
  </conditionalFormatting>
  <conditionalFormatting sqref="CP32:CR34">
    <cfRule type="colorScale" priority="26">
      <colorScale>
        <cfvo type="min"/>
        <cfvo type="max"/>
        <color rgb="FFFCFCFF"/>
        <color rgb="FFF8696B"/>
      </colorScale>
    </cfRule>
  </conditionalFormatting>
  <conditionalFormatting sqref="CP36:CR38">
    <cfRule type="colorScale" priority="25">
      <colorScale>
        <cfvo type="min"/>
        <cfvo type="max"/>
        <color rgb="FFFCFCFF"/>
        <color rgb="FFF8696B"/>
      </colorScale>
    </cfRule>
  </conditionalFormatting>
  <conditionalFormatting sqref="CP40:CR42">
    <cfRule type="colorScale" priority="24">
      <colorScale>
        <cfvo type="min"/>
        <cfvo type="max"/>
        <color rgb="FFFCFCFF"/>
        <color rgb="FFF8696B"/>
      </colorScale>
    </cfRule>
  </conditionalFormatting>
  <conditionalFormatting sqref="CP44:CR46">
    <cfRule type="colorScale" priority="23">
      <colorScale>
        <cfvo type="min"/>
        <cfvo type="max"/>
        <color rgb="FFFCFCFF"/>
        <color rgb="FFF8696B"/>
      </colorScale>
    </cfRule>
  </conditionalFormatting>
  <conditionalFormatting sqref="CP48:CR50">
    <cfRule type="colorScale" priority="22">
      <colorScale>
        <cfvo type="min"/>
        <cfvo type="max"/>
        <color rgb="FFFCFCFF"/>
        <color rgb="FFF8696B"/>
      </colorScale>
    </cfRule>
  </conditionalFormatting>
  <conditionalFormatting sqref="CP52:CR54">
    <cfRule type="colorScale" priority="21">
      <colorScale>
        <cfvo type="min"/>
        <cfvo type="max"/>
        <color rgb="FFFCFCFF"/>
        <color rgb="FFF8696B"/>
      </colorScale>
    </cfRule>
  </conditionalFormatting>
  <conditionalFormatting sqref="CP56:CR58">
    <cfRule type="colorScale" priority="20">
      <colorScale>
        <cfvo type="min"/>
        <cfvo type="max"/>
        <color rgb="FFFCFCFF"/>
        <color rgb="FFF8696B"/>
      </colorScale>
    </cfRule>
  </conditionalFormatting>
  <conditionalFormatting sqref="CP60:CR62">
    <cfRule type="colorScale" priority="19">
      <colorScale>
        <cfvo type="min"/>
        <cfvo type="max"/>
        <color rgb="FFFCFCFF"/>
        <color rgb="FFF8696B"/>
      </colorScale>
    </cfRule>
  </conditionalFormatting>
  <conditionalFormatting sqref="CP64:CR66">
    <cfRule type="colorScale" priority="18">
      <colorScale>
        <cfvo type="min"/>
        <cfvo type="max"/>
        <color rgb="FFFCFCFF"/>
        <color rgb="FFF8696B"/>
      </colorScale>
    </cfRule>
  </conditionalFormatting>
  <conditionalFormatting sqref="CP68:CR70">
    <cfRule type="colorScale" priority="17">
      <colorScale>
        <cfvo type="min"/>
        <cfvo type="max"/>
        <color rgb="FFFCFCFF"/>
        <color rgb="FFF8696B"/>
      </colorScale>
    </cfRule>
  </conditionalFormatting>
  <conditionalFormatting sqref="CT8">
    <cfRule type="colorScale" priority="16">
      <colorScale>
        <cfvo type="min"/>
        <cfvo type="max"/>
        <color rgb="FF63BE7B"/>
        <color rgb="FFFFEF9C"/>
      </colorScale>
    </cfRule>
  </conditionalFormatting>
  <conditionalFormatting sqref="CV8:CX10">
    <cfRule type="colorScale" priority="15">
      <colorScale>
        <cfvo type="min"/>
        <cfvo type="max"/>
        <color rgb="FFFCFCFF"/>
        <color rgb="FFF8696B"/>
      </colorScale>
    </cfRule>
  </conditionalFormatting>
  <conditionalFormatting sqref="CT12">
    <cfRule type="colorScale" priority="12">
      <colorScale>
        <cfvo type="min"/>
        <cfvo type="max"/>
        <color rgb="FF63BE7B"/>
        <color rgb="FFFFEF9C"/>
      </colorScale>
    </cfRule>
  </conditionalFormatting>
  <conditionalFormatting sqref="CV12:CX14">
    <cfRule type="colorScale" priority="11">
      <colorScale>
        <cfvo type="min"/>
        <cfvo type="max"/>
        <color rgb="FFFCFCFF"/>
        <color rgb="FFF8696B"/>
      </colorScale>
    </cfRule>
  </conditionalFormatting>
  <conditionalFormatting sqref="CZ8:CZ25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B8:DB25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D8:DU71">
    <cfRule type="colorScale" priority="8">
      <colorScale>
        <cfvo type="min"/>
        <cfvo type="max"/>
        <color rgb="FF63BE7B"/>
        <color rgb="FFFFEF9C"/>
      </colorScale>
    </cfRule>
  </conditionalFormatting>
  <conditionalFormatting sqref="DW8:DW71">
    <cfRule type="colorScale" priority="7">
      <colorScale>
        <cfvo type="min"/>
        <cfvo type="max"/>
        <color rgb="FFFCFCFF"/>
        <color rgb="FFF8696B"/>
      </colorScale>
    </cfRule>
  </conditionalFormatting>
  <conditionalFormatting sqref="DY8:DY71">
    <cfRule type="colorScale" priority="6">
      <colorScale>
        <cfvo type="min"/>
        <cfvo type="max"/>
        <color rgb="FF63BE7B"/>
        <color rgb="FFFFEF9C"/>
      </colorScale>
    </cfRule>
  </conditionalFormatting>
  <conditionalFormatting sqref="EA8:EA71">
    <cfRule type="colorScale" priority="5">
      <colorScale>
        <cfvo type="min"/>
        <cfvo type="max"/>
        <color rgb="FFFCFCFF"/>
        <color rgb="FFF8696B"/>
      </colorScale>
    </cfRule>
  </conditionalFormatting>
  <conditionalFormatting sqref="EC8:EC71">
    <cfRule type="colorScale" priority="4">
      <colorScale>
        <cfvo type="min"/>
        <cfvo type="max"/>
        <color rgb="FF63BE7B"/>
        <color rgb="FFFFEF9C"/>
      </colorScale>
    </cfRule>
  </conditionalFormatting>
  <conditionalFormatting sqref="EE8">
    <cfRule type="colorScale" priority="3">
      <colorScale>
        <cfvo type="min"/>
        <cfvo type="max"/>
        <color rgb="FFFCFCFF"/>
        <color rgb="FFF8696B"/>
      </colorScale>
    </cfRule>
  </conditionalFormatting>
  <conditionalFormatting sqref="EG8">
    <cfRule type="colorScale" priority="2">
      <colorScale>
        <cfvo type="min"/>
        <cfvo type="max"/>
        <color rgb="FFFCFCFF"/>
        <color rgb="FFF8696B"/>
      </colorScale>
    </cfRule>
  </conditionalFormatting>
  <conditionalFormatting sqref="EE10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00.成品展示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蒋宋義</dc:creator>
  <cp:lastModifiedBy>宋義 蒋</cp:lastModifiedBy>
  <dcterms:created xsi:type="dcterms:W3CDTF">2015-06-05T18:19:34Z</dcterms:created>
  <dcterms:modified xsi:type="dcterms:W3CDTF">2026-03-15T13:07:57Z</dcterms:modified>
</cp:coreProperties>
</file>