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iang\Desktop\蒋宋义\个人创作\05.用Excel实现BERT\"/>
    </mc:Choice>
  </mc:AlternateContent>
  <xr:revisionPtr revIDLastSave="0" documentId="13_ncr:1_{15B844C6-CF36-4D48-BB03-8CA4CEA0333E}" xr6:coauthVersionLast="47" xr6:coauthVersionMax="47" xr10:uidLastSave="{00000000-0000-0000-0000-000000000000}"/>
  <bookViews>
    <workbookView xWindow="-110" yWindow="-110" windowWidth="25820" windowHeight="15500" xr2:uid="{ECEAEA90-6D5F-43EB-BCE9-BEB39CE65DA1}"/>
  </bookViews>
  <sheets>
    <sheet name="00.miniBert" sheetId="6" r:id="rId1"/>
  </sheets>
  <functionGroups builtInGroupCount="19"/>
  <definedNames>
    <definedName name="_xleta.N" hidden="1" xlm="1">#NAME?</definedName>
    <definedName name="_xlpm.prob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2" i="6" l="1"/>
  <c r="BE12" i="6" s="1"/>
  <c r="AH12" i="6"/>
  <c r="BD12" i="6" s="1"/>
  <c r="AG12" i="6"/>
  <c r="BC12" i="6" s="1"/>
  <c r="AF12" i="6"/>
  <c r="BB12" i="6" s="1"/>
  <c r="AE12" i="6"/>
  <c r="BA12" i="6" s="1"/>
  <c r="AD12" i="6"/>
  <c r="AZ12" i="6" s="1"/>
  <c r="AC12" i="6"/>
  <c r="AY12" i="6" s="1"/>
  <c r="AB12" i="6"/>
  <c r="AX12" i="6" s="1"/>
  <c r="AA12" i="6"/>
  <c r="AW12" i="6" s="1"/>
  <c r="Z12" i="6"/>
  <c r="AV12" i="6" s="1"/>
  <c r="X12" i="6"/>
  <c r="X2" i="6"/>
  <c r="AI11" i="6"/>
  <c r="BE11" i="6" s="1"/>
  <c r="AH11" i="6"/>
  <c r="BD11" i="6" s="1"/>
  <c r="AG11" i="6"/>
  <c r="BC11" i="6" s="1"/>
  <c r="AF11" i="6"/>
  <c r="BB11" i="6" s="1"/>
  <c r="AE11" i="6"/>
  <c r="BA11" i="6" s="1"/>
  <c r="AD11" i="6"/>
  <c r="AZ11" i="6" s="1"/>
  <c r="AC11" i="6"/>
  <c r="AY11" i="6" s="1"/>
  <c r="AB11" i="6"/>
  <c r="AX11" i="6" s="1"/>
  <c r="AA11" i="6"/>
  <c r="AW11" i="6" s="1"/>
  <c r="Z11" i="6"/>
  <c r="AV11" i="6" s="1"/>
  <c r="X11" i="6"/>
  <c r="AI10" i="6"/>
  <c r="BE10" i="6" s="1"/>
  <c r="AH10" i="6"/>
  <c r="BD10" i="6" s="1"/>
  <c r="AG10" i="6"/>
  <c r="BC10" i="6" s="1"/>
  <c r="AF10" i="6"/>
  <c r="BB10" i="6" s="1"/>
  <c r="AE10" i="6"/>
  <c r="BA10" i="6" s="1"/>
  <c r="AD10" i="6"/>
  <c r="AZ10" i="6" s="1"/>
  <c r="AC10" i="6"/>
  <c r="AY10" i="6" s="1"/>
  <c r="AB10" i="6"/>
  <c r="AX10" i="6" s="1"/>
  <c r="AA10" i="6"/>
  <c r="AW10" i="6" s="1"/>
  <c r="Z10" i="6"/>
  <c r="AV10" i="6" s="1"/>
  <c r="X10" i="6"/>
  <c r="AI9" i="6"/>
  <c r="BE9" i="6" s="1"/>
  <c r="AH9" i="6"/>
  <c r="BD9" i="6" s="1"/>
  <c r="AG9" i="6"/>
  <c r="BC9" i="6" s="1"/>
  <c r="AF9" i="6"/>
  <c r="BB9" i="6" s="1"/>
  <c r="AE9" i="6"/>
  <c r="BA9" i="6" s="1"/>
  <c r="AD9" i="6"/>
  <c r="AZ9" i="6" s="1"/>
  <c r="AC9" i="6"/>
  <c r="AY9" i="6" s="1"/>
  <c r="AB9" i="6"/>
  <c r="AX9" i="6" s="1"/>
  <c r="AA9" i="6"/>
  <c r="AW9" i="6" s="1"/>
  <c r="Z9" i="6"/>
  <c r="AV9" i="6" s="1"/>
  <c r="X9" i="6"/>
  <c r="AI8" i="6"/>
  <c r="BE8" i="6" s="1"/>
  <c r="AH8" i="6"/>
  <c r="BD8" i="6" s="1"/>
  <c r="AG8" i="6"/>
  <c r="BC8" i="6" s="1"/>
  <c r="AF8" i="6"/>
  <c r="BB8" i="6" s="1"/>
  <c r="AE8" i="6"/>
  <c r="BA8" i="6" s="1"/>
  <c r="AD8" i="6"/>
  <c r="AZ8" i="6" s="1"/>
  <c r="AC8" i="6"/>
  <c r="AY8" i="6" s="1"/>
  <c r="AB8" i="6"/>
  <c r="AX8" i="6" s="1"/>
  <c r="AA8" i="6"/>
  <c r="AW8" i="6" s="1"/>
  <c r="Z8" i="6"/>
  <c r="AV8" i="6" s="1"/>
  <c r="X8" i="6"/>
  <c r="AI7" i="6"/>
  <c r="BE7" i="6" s="1"/>
  <c r="AH7" i="6"/>
  <c r="BD7" i="6" s="1"/>
  <c r="AG7" i="6"/>
  <c r="BC7" i="6" s="1"/>
  <c r="AF7" i="6"/>
  <c r="BB7" i="6" s="1"/>
  <c r="AE7" i="6"/>
  <c r="BA7" i="6" s="1"/>
  <c r="AD7" i="6"/>
  <c r="AZ7" i="6" s="1"/>
  <c r="AC7" i="6"/>
  <c r="AY7" i="6" s="1"/>
  <c r="AB7" i="6"/>
  <c r="AX7" i="6" s="1"/>
  <c r="AA7" i="6"/>
  <c r="AW7" i="6" s="1"/>
  <c r="Z7" i="6"/>
  <c r="AV7" i="6" s="1"/>
  <c r="X7" i="6"/>
  <c r="Z2" i="6"/>
  <c r="AV2" i="6" s="1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Z3" i="6"/>
  <c r="AV3" i="6" s="1"/>
  <c r="AA3" i="6"/>
  <c r="AW3" i="6" s="1"/>
  <c r="AB3" i="6"/>
  <c r="AX3" i="6" s="1"/>
  <c r="AC3" i="6"/>
  <c r="AY3" i="6" s="1"/>
  <c r="AD3" i="6"/>
  <c r="AZ3" i="6" s="1"/>
  <c r="AE3" i="6"/>
  <c r="BA3" i="6" s="1"/>
  <c r="AF3" i="6"/>
  <c r="BB3" i="6" s="1"/>
  <c r="AG3" i="6"/>
  <c r="BC3" i="6" s="1"/>
  <c r="AH3" i="6"/>
  <c r="BD3" i="6" s="1"/>
  <c r="AI3" i="6"/>
  <c r="BE3" i="6" s="1"/>
  <c r="Z4" i="6"/>
  <c r="AV4" i="6" s="1"/>
  <c r="AA4" i="6"/>
  <c r="AW4" i="6" s="1"/>
  <c r="AB4" i="6"/>
  <c r="AX4" i="6" s="1"/>
  <c r="AC4" i="6"/>
  <c r="AY4" i="6" s="1"/>
  <c r="AD4" i="6"/>
  <c r="AZ4" i="6" s="1"/>
  <c r="AE4" i="6"/>
  <c r="BA4" i="6" s="1"/>
  <c r="AF4" i="6"/>
  <c r="BB4" i="6" s="1"/>
  <c r="AG4" i="6"/>
  <c r="BC4" i="6" s="1"/>
  <c r="AH4" i="6"/>
  <c r="BD4" i="6" s="1"/>
  <c r="AI4" i="6"/>
  <c r="BE4" i="6" s="1"/>
  <c r="Z5" i="6"/>
  <c r="AV5" i="6" s="1"/>
  <c r="AA5" i="6"/>
  <c r="AW5" i="6" s="1"/>
  <c r="AB5" i="6"/>
  <c r="AX5" i="6" s="1"/>
  <c r="AC5" i="6"/>
  <c r="AY5" i="6" s="1"/>
  <c r="AD5" i="6"/>
  <c r="AZ5" i="6" s="1"/>
  <c r="AE5" i="6"/>
  <c r="BA5" i="6" s="1"/>
  <c r="AF5" i="6"/>
  <c r="BB5" i="6" s="1"/>
  <c r="AG5" i="6"/>
  <c r="BC5" i="6" s="1"/>
  <c r="AH5" i="6"/>
  <c r="BD5" i="6" s="1"/>
  <c r="AI5" i="6"/>
  <c r="BE5" i="6" s="1"/>
  <c r="AI2" i="6"/>
  <c r="BE2" i="6" s="1"/>
  <c r="AH2" i="6"/>
  <c r="BD2" i="6" s="1"/>
  <c r="AG2" i="6"/>
  <c r="BC2" i="6" s="1"/>
  <c r="AF2" i="6"/>
  <c r="BB2" i="6" s="1"/>
  <c r="AE2" i="6"/>
  <c r="BA2" i="6" s="1"/>
  <c r="AD2" i="6"/>
  <c r="AC2" i="6"/>
  <c r="AY2" i="6" s="1"/>
  <c r="AB2" i="6"/>
  <c r="AX2" i="6" s="1"/>
  <c r="AA2" i="6"/>
  <c r="AW2" i="6" s="1"/>
  <c r="X3" i="6"/>
  <c r="X4" i="6"/>
  <c r="X5" i="6"/>
  <c r="A101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2" i="6"/>
  <c r="AZ2" i="6" l="1"/>
  <c r="AB6" i="6" l="1"/>
  <c r="AX6" i="6" s="1"/>
  <c r="AA6" i="6"/>
  <c r="AW6" i="6" s="1"/>
  <c r="AI6" i="6"/>
  <c r="BE6" i="6" s="1"/>
  <c r="AH6" i="6"/>
  <c r="BD6" i="6" s="1"/>
  <c r="X6" i="6"/>
  <c r="AG6" i="6"/>
  <c r="BC6" i="6" s="1"/>
  <c r="AF6" i="6"/>
  <c r="BB6" i="6" s="1"/>
  <c r="AE6" i="6"/>
  <c r="BA6" i="6" s="1"/>
  <c r="AD6" i="6"/>
  <c r="AZ6" i="6" s="1"/>
  <c r="Z6" i="6"/>
  <c r="AV6" i="6" s="1"/>
  <c r="AC6" i="6"/>
  <c r="AY6" i="6" s="1"/>
  <c r="CK41" i="6" l="1" a="1"/>
  <c r="CK41" i="6" s="1"/>
  <c r="BS28" i="6" a="1"/>
  <c r="BS41" i="6" a="1"/>
  <c r="BS41" i="6" s="1"/>
  <c r="CK15" i="6" a="1"/>
  <c r="CK15" i="6" s="1"/>
  <c r="BS15" i="6" a="1"/>
  <c r="BS2" i="6" a="1"/>
  <c r="BS15" i="6" l="1"/>
  <c r="BS28" i="6"/>
  <c r="BY28" i="6" s="1" a="1"/>
  <c r="BY28" i="6" s="1"/>
  <c r="BS2" i="6"/>
  <c r="BY2" i="6" l="1" a="1"/>
  <c r="BY2" i="6" s="1"/>
  <c r="CN38" i="6" a="1"/>
  <c r="CN38" i="6" s="1"/>
  <c r="CO30" i="6" a="1"/>
  <c r="CO30" i="6" s="1"/>
  <c r="CL29" i="6" a="1"/>
  <c r="CL29" i="6" s="1"/>
  <c r="CM32" i="6" a="1"/>
  <c r="CM32" i="6" s="1"/>
  <c r="CN35" i="6" a="1"/>
  <c r="CN35" i="6" s="1"/>
  <c r="CQ28" i="6" a="1"/>
  <c r="CQ28" i="6" s="1"/>
  <c r="CO36" i="6" a="1"/>
  <c r="CO36" i="6" s="1"/>
  <c r="CR37" i="6" a="1"/>
  <c r="CR37" i="6" s="1"/>
  <c r="CQ31" i="6" a="1"/>
  <c r="CQ31" i="6" s="1"/>
  <c r="CL34" i="6" a="1"/>
  <c r="CL34" i="6" s="1"/>
  <c r="CN33" i="6" a="1"/>
  <c r="CN33" i="6" s="1"/>
  <c r="CS35" i="6" l="1" a="1"/>
  <c r="CS35" i="6" s="1"/>
  <c r="CO37" i="6" a="1"/>
  <c r="CO37" i="6" s="1"/>
  <c r="CS33" i="6" a="1"/>
  <c r="CS33" i="6" s="1"/>
  <c r="CT35" i="6" a="1"/>
  <c r="CT35" i="6" s="1"/>
  <c r="CU31" i="6" a="1"/>
  <c r="CU31" i="6" s="1"/>
  <c r="CU33" i="6" a="1"/>
  <c r="CU33" i="6" s="1"/>
  <c r="CR38" i="6" a="1"/>
  <c r="CR38" i="6" s="1"/>
  <c r="CN34" i="6" a="1"/>
  <c r="CN34" i="6" s="1"/>
  <c r="CP37" i="6" a="1"/>
  <c r="CP37" i="6" s="1"/>
  <c r="CN36" i="6" a="1"/>
  <c r="CN36" i="6" s="1"/>
  <c r="CQ4" i="6" a="1"/>
  <c r="CQ4" i="6" s="1"/>
  <c r="CT31" i="6" a="1"/>
  <c r="CT31" i="6" s="1"/>
  <c r="CK36" i="6" a="1"/>
  <c r="CK36" i="6" s="1"/>
  <c r="CU2" i="6" a="1"/>
  <c r="CU2" i="6" s="1"/>
  <c r="CL11" i="6" a="1"/>
  <c r="CL11" i="6" s="1"/>
  <c r="CT30" i="6" a="1"/>
  <c r="CT30" i="6" s="1"/>
  <c r="CS29" i="6" a="1"/>
  <c r="CS29" i="6" s="1"/>
  <c r="CN30" i="6" a="1"/>
  <c r="CN30" i="6" s="1"/>
  <c r="CR28" i="6" a="1"/>
  <c r="CR28" i="6" s="1"/>
  <c r="CQ34" i="6" a="1"/>
  <c r="CQ34" i="6" s="1"/>
  <c r="CS36" i="6" a="1"/>
  <c r="CS36" i="6" s="1"/>
  <c r="CM38" i="6" a="1"/>
  <c r="CM38" i="6" s="1"/>
  <c r="CQ33" i="6" a="1"/>
  <c r="CQ33" i="6" s="1"/>
  <c r="CR31" i="6" a="1"/>
  <c r="CR31" i="6" s="1"/>
  <c r="CN31" i="6" a="1"/>
  <c r="CN31" i="6" s="1"/>
  <c r="CK35" i="6" a="1"/>
  <c r="CK35" i="6" s="1"/>
  <c r="CL32" i="6" a="1"/>
  <c r="CL32" i="6" s="1"/>
  <c r="CP30" i="6" a="1"/>
  <c r="CP30" i="6" s="1"/>
  <c r="CM31" i="6" a="1"/>
  <c r="CM31" i="6" s="1"/>
  <c r="CT38" i="6" a="1"/>
  <c r="CT38" i="6" s="1"/>
  <c r="CM30" i="6" a="1"/>
  <c r="CM30" i="6" s="1"/>
  <c r="CP33" i="6" a="1"/>
  <c r="CP33" i="6" s="1"/>
  <c r="CT34" i="6" a="1"/>
  <c r="CT34" i="6" s="1"/>
  <c r="CR32" i="6" a="1"/>
  <c r="CR32" i="6" s="1"/>
  <c r="CT33" i="6" a="1"/>
  <c r="CT33" i="6" s="1"/>
  <c r="CQ36" i="6" a="1"/>
  <c r="CQ36" i="6" s="1"/>
  <c r="CL30" i="6" a="1"/>
  <c r="CL30" i="6" s="1"/>
  <c r="CU36" i="6" a="1"/>
  <c r="CU36" i="6" s="1"/>
  <c r="CK29" i="6" a="1"/>
  <c r="CK29" i="6" s="1"/>
  <c r="CS30" i="6" a="1"/>
  <c r="CS30" i="6" s="1"/>
  <c r="CL31" i="6" a="1"/>
  <c r="CL31" i="6" s="1"/>
  <c r="CQ32" i="6" a="1"/>
  <c r="CQ32" i="6" s="1"/>
  <c r="CQ38" i="6" a="1"/>
  <c r="CQ38" i="6" s="1"/>
  <c r="CL28" i="6" a="1"/>
  <c r="CL28" i="6" s="1"/>
  <c r="CS37" i="6" a="1"/>
  <c r="CS37" i="6" s="1"/>
  <c r="CM37" i="6" a="1"/>
  <c r="CM37" i="6" s="1"/>
  <c r="CR36" i="6" a="1"/>
  <c r="CR36" i="6" s="1"/>
  <c r="CM33" i="6" a="1"/>
  <c r="CM33" i="6" s="1"/>
  <c r="CK34" i="6" a="1"/>
  <c r="CK34" i="6" s="1"/>
  <c r="CS28" i="6" a="1"/>
  <c r="CS28" i="6" s="1"/>
  <c r="CL35" i="6" a="1"/>
  <c r="CL35" i="6" s="1"/>
  <c r="CK37" i="6" a="1"/>
  <c r="CK37" i="6" s="1"/>
  <c r="CR34" i="6" a="1"/>
  <c r="CR34" i="6" s="1"/>
  <c r="CL33" i="6" a="1"/>
  <c r="CL33" i="6" s="1"/>
  <c r="CO32" i="6" a="1"/>
  <c r="CO32" i="6" s="1"/>
  <c r="CS3" i="6" a="1"/>
  <c r="CS3" i="6" s="1"/>
  <c r="CL12" i="6" a="1"/>
  <c r="CL12" i="6" s="1"/>
  <c r="CQ37" i="6" a="1"/>
  <c r="CQ37" i="6" s="1"/>
  <c r="CN28" i="6" a="1"/>
  <c r="CN28" i="6" s="1"/>
  <c r="CP8" i="6" a="1"/>
  <c r="CP8" i="6" s="1"/>
  <c r="CR10" i="6" a="1"/>
  <c r="CR10" i="6" s="1"/>
  <c r="CP29" i="6" a="1"/>
  <c r="CP29" i="6" s="1"/>
  <c r="CM29" i="6" a="1"/>
  <c r="CM29" i="6" s="1"/>
  <c r="CN32" i="6" a="1"/>
  <c r="CN32" i="6" s="1"/>
  <c r="CS38" i="6" a="1"/>
  <c r="CS38" i="6" s="1"/>
  <c r="CU38" i="6" a="1"/>
  <c r="CU38" i="6" s="1"/>
  <c r="CL38" i="6" a="1"/>
  <c r="CL38" i="6" s="1"/>
  <c r="CL37" i="6" a="1"/>
  <c r="CL37" i="6" s="1"/>
  <c r="CM35" i="6" a="1"/>
  <c r="CM35" i="6" s="1"/>
  <c r="CP38" i="6" a="1"/>
  <c r="CP38" i="6" s="1"/>
  <c r="CT32" i="6" a="1"/>
  <c r="CT32" i="6" s="1"/>
  <c r="CU35" i="6" a="1"/>
  <c r="CU35" i="6" s="1"/>
  <c r="CQ35" i="6" a="1"/>
  <c r="CQ35" i="6" s="1"/>
  <c r="CP34" i="6" a="1"/>
  <c r="CP34" i="6" s="1"/>
  <c r="CO35" i="6" a="1"/>
  <c r="CO35" i="6" s="1"/>
  <c r="CO33" i="6" a="1"/>
  <c r="CO33" i="6" s="1"/>
  <c r="CP35" i="6" a="1"/>
  <c r="CP35" i="6" s="1"/>
  <c r="CO38" i="6" a="1"/>
  <c r="CO38" i="6" s="1"/>
  <c r="CU37" i="6" a="1"/>
  <c r="CU37" i="6" s="1"/>
  <c r="CU28" i="6" a="1"/>
  <c r="CU28" i="6" s="1"/>
  <c r="CP32" i="6" a="1"/>
  <c r="CP32" i="6" s="1"/>
  <c r="CO29" i="6" a="1"/>
  <c r="CO29" i="6" s="1"/>
  <c r="CP36" i="6" a="1"/>
  <c r="CP36" i="6" s="1"/>
  <c r="CR30" i="6" a="1"/>
  <c r="CR30" i="6" s="1"/>
  <c r="CR35" i="6" a="1"/>
  <c r="CR35" i="6" s="1"/>
  <c r="CM28" i="6" a="1"/>
  <c r="CM28" i="6" s="1"/>
  <c r="CP31" i="6" a="1"/>
  <c r="CP31" i="6" s="1"/>
  <c r="CU34" i="6" a="1"/>
  <c r="CU34" i="6" s="1"/>
  <c r="CK38" i="6" a="1"/>
  <c r="CK38" i="6" s="1"/>
  <c r="CO34" i="6" a="1"/>
  <c r="CO34" i="6" s="1"/>
  <c r="CQ30" i="6" a="1"/>
  <c r="CQ30" i="6" s="1"/>
  <c r="CU30" i="6" a="1"/>
  <c r="CU30" i="6" s="1"/>
  <c r="CT28" i="6" a="1"/>
  <c r="CT28" i="6" s="1"/>
  <c r="CP28" i="6" a="1"/>
  <c r="CP28" i="6" s="1"/>
  <c r="CO28" i="6" a="1"/>
  <c r="CO28" i="6" s="1"/>
  <c r="CO31" i="6" a="1"/>
  <c r="CO31" i="6" s="1"/>
  <c r="CL36" i="6" a="1"/>
  <c r="CL36" i="6" s="1"/>
  <c r="CR29" i="6" a="1"/>
  <c r="CR29" i="6" s="1"/>
  <c r="CS32" i="6" a="1"/>
  <c r="CS32" i="6" s="1"/>
  <c r="CT36" i="6" a="1"/>
  <c r="CT36" i="6" s="1"/>
  <c r="CN29" i="6" a="1"/>
  <c r="CN29" i="6" s="1"/>
  <c r="CT29" i="6" a="1"/>
  <c r="CT29" i="6" s="1"/>
  <c r="CK32" i="6" a="1"/>
  <c r="CK32" i="6" s="1"/>
  <c r="CR33" i="6" a="1"/>
  <c r="CR33" i="6" s="1"/>
  <c r="CQ29" i="6" a="1"/>
  <c r="CQ29" i="6" s="1"/>
  <c r="CT7" i="6" a="1"/>
  <c r="CT7" i="6" s="1"/>
  <c r="CU9" i="6" a="1"/>
  <c r="CU9" i="6" s="1"/>
  <c r="CK31" i="6" a="1"/>
  <c r="CK31" i="6" s="1"/>
  <c r="CS34" i="6" a="1"/>
  <c r="CS34" i="6" s="1"/>
  <c r="CK30" i="6" a="1"/>
  <c r="CK30" i="6" s="1"/>
  <c r="CU29" i="6" a="1"/>
  <c r="CU29" i="6" s="1"/>
  <c r="CK33" i="6" a="1"/>
  <c r="CK33" i="6" s="1"/>
  <c r="CM34" i="6" a="1"/>
  <c r="CM34" i="6" s="1"/>
  <c r="CU32" i="6" a="1"/>
  <c r="CU32" i="6" s="1"/>
  <c r="CN37" i="6" a="1"/>
  <c r="CN37" i="6" s="1"/>
  <c r="CT37" i="6" a="1"/>
  <c r="CT37" i="6" s="1"/>
  <c r="CS31" i="6" a="1"/>
  <c r="CS31" i="6" s="1"/>
  <c r="CM36" i="6" a="1"/>
  <c r="CM36" i="6" s="1"/>
  <c r="CK28" i="6" a="1"/>
  <c r="CK28" i="6" s="1"/>
  <c r="CS6" i="6" a="1"/>
  <c r="CS6" i="6" s="1"/>
  <c r="CN6" i="6" a="1"/>
  <c r="CN6" i="6" s="1"/>
  <c r="CR5" i="6" a="1"/>
  <c r="CR5" i="6" s="1"/>
  <c r="CU3" i="6" a="1"/>
  <c r="CU3" i="6" s="1"/>
  <c r="CL3" i="6" a="1"/>
  <c r="CL3" i="6" s="1"/>
  <c r="CK3" i="6" a="1"/>
  <c r="CK3" i="6" s="1"/>
  <c r="CO12" i="6" a="1"/>
  <c r="CO12" i="6" s="1"/>
  <c r="CM9" i="6" a="1"/>
  <c r="CM9" i="6" s="1"/>
  <c r="CL4" i="6" a="1"/>
  <c r="CL4" i="6" s="1"/>
  <c r="CP9" i="6" a="1"/>
  <c r="CP9" i="6" s="1"/>
  <c r="CS12" i="6" a="1"/>
  <c r="CS12" i="6" s="1"/>
  <c r="CK9" i="6" a="1"/>
  <c r="CK9" i="6" s="1"/>
  <c r="CL9" i="6" a="1"/>
  <c r="CL9" i="6" s="1"/>
  <c r="CR8" i="6" a="1"/>
  <c r="CR8" i="6" s="1"/>
  <c r="CO3" i="6" a="1"/>
  <c r="CO3" i="6" s="1"/>
  <c r="CQ6" i="6" a="1"/>
  <c r="CQ6" i="6" s="1"/>
  <c r="CT9" i="6" a="1"/>
  <c r="CT9" i="6" s="1"/>
  <c r="CS5" i="6" a="1"/>
  <c r="CS5" i="6" s="1"/>
  <c r="CL5" i="6" a="1"/>
  <c r="CL5" i="6" s="1"/>
  <c r="CN4" i="6" a="1"/>
  <c r="CN4" i="6" s="1"/>
  <c r="CR11" i="6" a="1"/>
  <c r="CR11" i="6" s="1"/>
  <c r="CR4" i="6" a="1"/>
  <c r="CR4" i="6" s="1"/>
  <c r="CS4" i="6" a="1"/>
  <c r="CS4" i="6" s="1"/>
  <c r="CU6" i="6" a="1"/>
  <c r="CU6" i="6" s="1"/>
  <c r="CM10" i="6" a="1"/>
  <c r="CM10" i="6" s="1"/>
  <c r="CM3" i="6" a="1"/>
  <c r="CM3" i="6" s="1"/>
  <c r="CN3" i="6" a="1"/>
  <c r="CN3" i="6" s="1"/>
  <c r="CK4" i="6" a="1"/>
  <c r="CK4" i="6" s="1"/>
  <c r="CS8" i="6" a="1"/>
  <c r="CS8" i="6" s="1"/>
  <c r="CP12" i="6" a="1"/>
  <c r="CP12" i="6" s="1"/>
  <c r="CQ8" i="6" a="1"/>
  <c r="CQ8" i="6" s="1"/>
  <c r="CR12" i="6" a="1"/>
  <c r="CR12" i="6" s="1"/>
  <c r="CU7" i="6" a="1"/>
  <c r="CU7" i="6" s="1"/>
  <c r="CN7" i="6" a="1"/>
  <c r="CN7" i="6" s="1"/>
  <c r="CT4" i="6" a="1"/>
  <c r="CT4" i="6" s="1"/>
  <c r="CU10" i="6" a="1"/>
  <c r="CU10" i="6" s="1"/>
  <c r="CM8" i="6" a="1"/>
  <c r="CM8" i="6" s="1"/>
  <c r="CQ10" i="6" a="1"/>
  <c r="CQ10" i="6" s="1"/>
  <c r="CL10" i="6" a="1"/>
  <c r="CL10" i="6" s="1"/>
  <c r="CK8" i="6" a="1"/>
  <c r="CK8" i="6" s="1"/>
  <c r="CN11" i="6" a="1"/>
  <c r="CN11" i="6" s="1"/>
  <c r="CT3" i="6" a="1"/>
  <c r="CT3" i="6" s="1"/>
  <c r="CQ7" i="6" a="1"/>
  <c r="CQ7" i="6" s="1"/>
  <c r="CR7" i="6" a="1"/>
  <c r="CR7" i="6" s="1"/>
  <c r="CM7" i="6" a="1"/>
  <c r="CM7" i="6" s="1"/>
  <c r="CL6" i="6" a="1"/>
  <c r="CL6" i="6" s="1"/>
  <c r="CM6" i="6" a="1"/>
  <c r="CM6" i="6" s="1"/>
  <c r="CO8" i="6" a="1"/>
  <c r="CO8" i="6" s="1"/>
  <c r="CN12" i="6" a="1"/>
  <c r="CN12" i="6" s="1"/>
  <c r="CQ5" i="6" a="1"/>
  <c r="CQ5" i="6" s="1"/>
  <c r="CR3" i="6" a="1"/>
  <c r="CR3" i="6" s="1"/>
  <c r="CP11" i="6" a="1"/>
  <c r="CP11" i="6" s="1"/>
  <c r="CT10" i="6" a="1"/>
  <c r="CT10" i="6" s="1"/>
  <c r="CP5" i="6" a="1"/>
  <c r="CP5" i="6" s="1"/>
  <c r="CU4" i="6" a="1"/>
  <c r="CU4" i="6" s="1"/>
  <c r="CK10" i="6" a="1"/>
  <c r="CK10" i="6" s="1"/>
  <c r="CO9" i="6" a="1"/>
  <c r="CO9" i="6" s="1"/>
  <c r="CQ12" i="6" a="1"/>
  <c r="CQ12" i="6" s="1"/>
  <c r="CN5" i="6" a="1"/>
  <c r="CN5" i="6" s="1"/>
  <c r="CK11" i="6" a="1"/>
  <c r="CK11" i="6" s="1"/>
  <c r="CT11" i="6" a="1"/>
  <c r="CT11" i="6" s="1"/>
  <c r="CS11" i="6" a="1"/>
  <c r="CS11" i="6" s="1"/>
  <c r="CL7" i="6" a="1"/>
  <c r="CL7" i="6" s="1"/>
  <c r="CM11" i="6" a="1"/>
  <c r="CM11" i="6" s="1"/>
  <c r="CP6" i="6" a="1"/>
  <c r="CP6" i="6" s="1"/>
  <c r="CT5" i="6" a="1"/>
  <c r="CT5" i="6" s="1"/>
  <c r="CP4" i="6" a="1"/>
  <c r="CP4" i="6" s="1"/>
  <c r="CR9" i="6" a="1"/>
  <c r="CR9" i="6" s="1"/>
  <c r="CQ11" i="6" a="1"/>
  <c r="CQ11" i="6" s="1"/>
  <c r="CP10" i="6" a="1"/>
  <c r="CP10" i="6" s="1"/>
  <c r="CQ9" i="6" a="1"/>
  <c r="CQ9" i="6" s="1"/>
  <c r="CO10" i="6" a="1"/>
  <c r="CO10" i="6" s="1"/>
  <c r="CN10" i="6" a="1"/>
  <c r="CN10" i="6" s="1"/>
  <c r="CS9" i="6" a="1"/>
  <c r="CS9" i="6" s="1"/>
  <c r="CK5" i="6" a="1"/>
  <c r="CK5" i="6" s="1"/>
  <c r="CO4" i="6" a="1"/>
  <c r="CO4" i="6" s="1"/>
  <c r="CM12" i="6" a="1"/>
  <c r="CM12" i="6" s="1"/>
  <c r="CL8" i="6" a="1"/>
  <c r="CL8" i="6" s="1"/>
  <c r="CU8" i="6" a="1"/>
  <c r="CU8" i="6" s="1"/>
  <c r="CT8" i="6" a="1"/>
  <c r="CT8" i="6" s="1"/>
  <c r="CM4" i="6" a="1"/>
  <c r="CM4" i="6" s="1"/>
  <c r="CN8" i="6" a="1"/>
  <c r="CN8" i="6" s="1"/>
  <c r="CQ3" i="6" a="1"/>
  <c r="CQ3" i="6" s="1"/>
  <c r="CK2" i="6" a="1"/>
  <c r="CK2" i="6" s="1"/>
  <c r="CP3" i="6" a="1"/>
  <c r="CP3" i="6" s="1"/>
  <c r="CK7" i="6" a="1"/>
  <c r="CK7" i="6" s="1"/>
  <c r="CU11" i="6" a="1"/>
  <c r="CU11" i="6" s="1"/>
  <c r="CS7" i="6" a="1"/>
  <c r="CS7" i="6" s="1"/>
  <c r="CS10" i="6" a="1"/>
  <c r="CS10" i="6" s="1"/>
  <c r="CR6" i="6" a="1"/>
  <c r="CR6" i="6" s="1"/>
  <c r="CP7" i="6" a="1"/>
  <c r="CP7" i="6" s="1"/>
  <c r="CO7" i="6" a="1"/>
  <c r="CO7" i="6" s="1"/>
  <c r="CT12" i="6" a="1"/>
  <c r="CT12" i="6" s="1"/>
  <c r="CT6" i="6" a="1"/>
  <c r="CT6" i="6" s="1"/>
  <c r="CO6" i="6" a="1"/>
  <c r="CO6" i="6" s="1"/>
  <c r="CU12" i="6" a="1"/>
  <c r="CU12" i="6" s="1"/>
  <c r="CN9" i="6" a="1"/>
  <c r="CN9" i="6" s="1"/>
  <c r="CM5" i="6" a="1"/>
  <c r="CM5" i="6" s="1"/>
  <c r="CK6" i="6" a="1"/>
  <c r="CK6" i="6" s="1"/>
  <c r="CU5" i="6" a="1"/>
  <c r="CU5" i="6" s="1"/>
  <c r="CO11" i="6" a="1"/>
  <c r="CO11" i="6" s="1"/>
  <c r="CO5" i="6" a="1"/>
  <c r="CO5" i="6" s="1"/>
  <c r="CK12" i="6" a="1"/>
  <c r="CK12" i="6" s="1"/>
  <c r="CL2" i="6" a="1"/>
  <c r="CL2" i="6" s="1"/>
  <c r="CM2" i="6" a="1"/>
  <c r="CM2" i="6" s="1"/>
  <c r="CQ2" i="6" a="1"/>
  <c r="CQ2" i="6" s="1"/>
  <c r="CR2" i="6" a="1"/>
  <c r="CR2" i="6" s="1"/>
  <c r="CP2" i="6" a="1"/>
  <c r="CP2" i="6" s="1"/>
  <c r="CS2" i="6" a="1"/>
  <c r="CS2" i="6" s="1"/>
  <c r="CT2" i="6" a="1"/>
  <c r="CT2" i="6" s="1"/>
  <c r="CO2" i="6" a="1"/>
  <c r="CO2" i="6" s="1"/>
  <c r="CN2" i="6" a="1"/>
  <c r="CN2" i="6" s="1"/>
  <c r="CQ41" i="6" l="1" a="1"/>
  <c r="CQ15" i="6" a="1"/>
  <c r="CQ41" i="6" l="1"/>
  <c r="DC2" i="6" s="1"/>
  <c r="DC3" i="6"/>
  <c r="DD6" i="6"/>
  <c r="DE9" i="6"/>
  <c r="DF12" i="6"/>
  <c r="DD3" i="6"/>
  <c r="DE6" i="6"/>
  <c r="DF9" i="6"/>
  <c r="DG12" i="6"/>
  <c r="DE3" i="6"/>
  <c r="DF6" i="6"/>
  <c r="DG9" i="6"/>
  <c r="DD2" i="6"/>
  <c r="DC4" i="6"/>
  <c r="DD7" i="6"/>
  <c r="DE10" i="6"/>
  <c r="DG2" i="6"/>
  <c r="DD4" i="6"/>
  <c r="DE7" i="6"/>
  <c r="DF10" i="6"/>
  <c r="DF3" i="6"/>
  <c r="DG6" i="6"/>
  <c r="DC10" i="6"/>
  <c r="DE2" i="6"/>
  <c r="DG3" i="6"/>
  <c r="DC7" i="6"/>
  <c r="DD10" i="6"/>
  <c r="DF2" i="6"/>
  <c r="DE4" i="6"/>
  <c r="DC9" i="6"/>
  <c r="DF4" i="6"/>
  <c r="DD9" i="6"/>
  <c r="DG4" i="6"/>
  <c r="DG10" i="6"/>
  <c r="DC5" i="6"/>
  <c r="DC11" i="6"/>
  <c r="DD5" i="6"/>
  <c r="DD11" i="6"/>
  <c r="DE5" i="6"/>
  <c r="DE11" i="6"/>
  <c r="DF5" i="6"/>
  <c r="DF11" i="6"/>
  <c r="DG5" i="6"/>
  <c r="DG11" i="6"/>
  <c r="DC6" i="6"/>
  <c r="DC12" i="6"/>
  <c r="DF7" i="6"/>
  <c r="DD12" i="6"/>
  <c r="DG7" i="6"/>
  <c r="DE12" i="6"/>
  <c r="DC8" i="6"/>
  <c r="DD8" i="6"/>
  <c r="DE8" i="6"/>
  <c r="DF8" i="6"/>
  <c r="DG8" i="6"/>
  <c r="CQ15" i="6"/>
  <c r="CX2" i="6" s="1"/>
  <c r="DB3" i="6"/>
  <c r="CX7" i="6"/>
  <c r="CY10" i="6"/>
  <c r="CX4" i="6"/>
  <c r="CY7" i="6"/>
  <c r="CZ10" i="6"/>
  <c r="CY4" i="6"/>
  <c r="CZ7" i="6"/>
  <c r="DA10" i="6"/>
  <c r="DB4" i="6"/>
  <c r="CX8" i="6"/>
  <c r="CY11" i="6"/>
  <c r="CX5" i="6"/>
  <c r="CY8" i="6"/>
  <c r="CZ11" i="6"/>
  <c r="CZ4" i="6"/>
  <c r="DA7" i="6"/>
  <c r="DB10" i="6"/>
  <c r="DA4" i="6"/>
  <c r="DB7" i="6"/>
  <c r="CX11" i="6"/>
  <c r="CX3" i="6"/>
  <c r="CX9" i="6"/>
  <c r="CY3" i="6"/>
  <c r="CY9" i="6"/>
  <c r="CZ3" i="6"/>
  <c r="CZ9" i="6"/>
  <c r="DA3" i="6"/>
  <c r="DA9" i="6"/>
  <c r="CY5" i="6"/>
  <c r="DB9" i="6"/>
  <c r="CZ5" i="6"/>
  <c r="CX10" i="6"/>
  <c r="DA5" i="6"/>
  <c r="DA11" i="6"/>
  <c r="DB5" i="6"/>
  <c r="DB11" i="6"/>
  <c r="CX6" i="6"/>
  <c r="CY6" i="6"/>
  <c r="CZ6" i="6"/>
  <c r="CX12" i="6"/>
  <c r="DA6" i="6"/>
  <c r="CY12" i="6"/>
  <c r="DB6" i="6"/>
  <c r="CZ12" i="6"/>
  <c r="CZ8" i="6"/>
  <c r="DA12" i="6"/>
  <c r="DA8" i="6"/>
  <c r="DB12" i="6"/>
  <c r="DB8" i="6"/>
  <c r="DA2" i="6"/>
  <c r="DB2" i="6"/>
  <c r="CY2" i="6"/>
  <c r="CZ2" i="6"/>
  <c r="DU2" i="6" l="1" a="1"/>
  <c r="DU2" i="6" l="1"/>
  <c r="EF2" i="6" s="1"/>
  <c r="EH12" i="6"/>
  <c r="EM11" i="6"/>
  <c r="EI9" i="6"/>
  <c r="EO8" i="6"/>
  <c r="EK12" i="6"/>
  <c r="EM12" i="6"/>
  <c r="EI10" i="6"/>
  <c r="EO9" i="6"/>
  <c r="EK7" i="6"/>
  <c r="EH9" i="6"/>
  <c r="EG12" i="6"/>
  <c r="EN11" i="6"/>
  <c r="EJ9" i="6"/>
  <c r="EF8" i="6"/>
  <c r="EL12" i="6"/>
  <c r="EH10" i="6"/>
  <c r="EN9" i="6"/>
  <c r="EJ7" i="6"/>
  <c r="EI12" i="6"/>
  <c r="EO11" i="6"/>
  <c r="EK9" i="6"/>
  <c r="EG7" i="6"/>
  <c r="EJ12" i="6"/>
  <c r="EF11" i="6"/>
  <c r="EL9" i="6"/>
  <c r="EH7" i="6"/>
  <c r="EG10" i="6"/>
  <c r="EM9" i="6"/>
  <c r="EI7" i="6"/>
  <c r="EF12" i="6"/>
  <c r="EL10" i="6"/>
  <c r="EH8" i="6"/>
  <c r="EN7" i="6"/>
  <c r="EG11" i="6"/>
  <c r="EM10" i="6"/>
  <c r="EI8" i="6"/>
  <c r="EO7" i="6"/>
  <c r="EH11" i="6"/>
  <c r="EN10" i="6"/>
  <c r="EJ8" i="6"/>
  <c r="EF7" i="6"/>
  <c r="EI11" i="6"/>
  <c r="EO10" i="6"/>
  <c r="EK8" i="6"/>
  <c r="EF6" i="6"/>
  <c r="EJ11" i="6"/>
  <c r="EF10" i="6"/>
  <c r="EL8" i="6"/>
  <c r="EG6" i="6"/>
  <c r="EK11" i="6"/>
  <c r="EG9" i="6"/>
  <c r="EM8" i="6"/>
  <c r="EL11" i="6"/>
  <c r="EN8" i="6"/>
  <c r="EN12" i="6"/>
  <c r="EJ10" i="6"/>
  <c r="EF9" i="6"/>
  <c r="EL7" i="6"/>
  <c r="EO12" i="6"/>
  <c r="EK10" i="6"/>
  <c r="EG8" i="6"/>
  <c r="EM7" i="6"/>
  <c r="EF4" i="6"/>
  <c r="EN5" i="6"/>
  <c r="EK4" i="6"/>
  <c r="EJ6" i="6"/>
  <c r="EJ4" i="6"/>
  <c r="EJ3" i="6"/>
  <c r="EH6" i="6"/>
  <c r="EK3" i="6"/>
  <c r="EF5" i="6"/>
  <c r="EG5" i="6"/>
  <c r="EJ5" i="6"/>
  <c r="EO6" i="6"/>
  <c r="EM6" i="6"/>
  <c r="EM5" i="6"/>
  <c r="EG3" i="6"/>
  <c r="EM4" i="6"/>
  <c r="EN3" i="6"/>
  <c r="EH4" i="6"/>
  <c r="EG4" i="6"/>
  <c r="EJ2" i="6"/>
  <c r="EK6" i="6"/>
  <c r="EH5" i="6"/>
  <c r="EM3" i="6"/>
  <c r="EN4" i="6"/>
  <c r="EI4" i="6"/>
  <c r="EL4" i="6"/>
  <c r="EM2" i="6"/>
  <c r="EG2" i="6"/>
  <c r="EO4" i="6"/>
  <c r="EN6" i="6"/>
  <c r="EO2" i="6"/>
  <c r="EK5" i="6"/>
  <c r="EF3" i="6"/>
  <c r="EO5" i="6"/>
  <c r="EN2" i="6"/>
  <c r="EL5" i="6"/>
  <c r="EL6" i="6"/>
  <c r="EK2" i="6"/>
  <c r="EH2" i="6"/>
  <c r="EL2" i="6"/>
  <c r="EO3" i="6"/>
  <c r="EI3" i="6"/>
  <c r="EH3" i="6"/>
  <c r="EI5" i="6"/>
  <c r="EI2" i="6"/>
  <c r="EL3" i="6"/>
  <c r="EI6" i="6"/>
  <c r="DU16" i="6" l="1" a="1"/>
  <c r="DU16" i="6" l="1"/>
  <c r="EF16" i="6" s="1"/>
  <c r="EQ16" i="6" s="1"/>
  <c r="EJ26" i="6"/>
  <c r="EU26" i="6" s="1"/>
  <c r="EF25" i="6"/>
  <c r="EQ25" i="6" s="1"/>
  <c r="EL23" i="6"/>
  <c r="EW23" i="6" s="1"/>
  <c r="EH21" i="6"/>
  <c r="ES21" i="6" s="1"/>
  <c r="EK26" i="6"/>
  <c r="EV26" i="6" s="1"/>
  <c r="EG24" i="6"/>
  <c r="ER24" i="6" s="1"/>
  <c r="EM23" i="6"/>
  <c r="EX23" i="6" s="1"/>
  <c r="EI21" i="6"/>
  <c r="ET21" i="6" s="1"/>
  <c r="EL26" i="6"/>
  <c r="EW26" i="6" s="1"/>
  <c r="EH24" i="6"/>
  <c r="ES24" i="6" s="1"/>
  <c r="EN23" i="6"/>
  <c r="EY23" i="6" s="1"/>
  <c r="EJ21" i="6"/>
  <c r="EU21" i="6" s="1"/>
  <c r="EM26" i="6"/>
  <c r="EX26" i="6" s="1"/>
  <c r="EI24" i="6"/>
  <c r="ET24" i="6" s="1"/>
  <c r="EO23" i="6"/>
  <c r="EZ23" i="6" s="1"/>
  <c r="EK21" i="6"/>
  <c r="EV21" i="6" s="1"/>
  <c r="EG25" i="6"/>
  <c r="ER25" i="6" s="1"/>
  <c r="EM24" i="6"/>
  <c r="EX24" i="6" s="1"/>
  <c r="EI22" i="6"/>
  <c r="ET22" i="6" s="1"/>
  <c r="EO21" i="6"/>
  <c r="EZ21" i="6" s="1"/>
  <c r="EN26" i="6"/>
  <c r="EY26" i="6" s="1"/>
  <c r="EJ24" i="6"/>
  <c r="EU24" i="6" s="1"/>
  <c r="EF23" i="6"/>
  <c r="EQ23" i="6" s="1"/>
  <c r="EL21" i="6"/>
  <c r="EW21" i="6" s="1"/>
  <c r="EO26" i="6"/>
  <c r="EZ26" i="6" s="1"/>
  <c r="EK24" i="6"/>
  <c r="EV24" i="6" s="1"/>
  <c r="EG22" i="6"/>
  <c r="ER22" i="6" s="1"/>
  <c r="EM21" i="6"/>
  <c r="EX21" i="6" s="1"/>
  <c r="EF26" i="6"/>
  <c r="EQ26" i="6" s="1"/>
  <c r="EL24" i="6"/>
  <c r="EW24" i="6" s="1"/>
  <c r="EH22" i="6"/>
  <c r="ES22" i="6" s="1"/>
  <c r="EN21" i="6"/>
  <c r="EY21" i="6" s="1"/>
  <c r="EH25" i="6"/>
  <c r="ES25" i="6" s="1"/>
  <c r="EN24" i="6"/>
  <c r="EY24" i="6" s="1"/>
  <c r="EJ22" i="6"/>
  <c r="EU22" i="6" s="1"/>
  <c r="EF21" i="6"/>
  <c r="EQ21" i="6" s="1"/>
  <c r="EJ25" i="6"/>
  <c r="EU25" i="6" s="1"/>
  <c r="EF24" i="6"/>
  <c r="EQ24" i="6" s="1"/>
  <c r="EL22" i="6"/>
  <c r="EW22" i="6" s="1"/>
  <c r="EK25" i="6"/>
  <c r="EV25" i="6" s="1"/>
  <c r="EG23" i="6"/>
  <c r="ER23" i="6" s="1"/>
  <c r="EM22" i="6"/>
  <c r="EX22" i="6" s="1"/>
  <c r="EL25" i="6"/>
  <c r="EW25" i="6" s="1"/>
  <c r="EH23" i="6"/>
  <c r="ES23" i="6" s="1"/>
  <c r="EN22" i="6"/>
  <c r="EY22" i="6" s="1"/>
  <c r="EH26" i="6"/>
  <c r="ES26" i="6" s="1"/>
  <c r="EN25" i="6"/>
  <c r="EY25" i="6" s="1"/>
  <c r="EJ23" i="6"/>
  <c r="EU23" i="6" s="1"/>
  <c r="EF22" i="6"/>
  <c r="EQ22" i="6" s="1"/>
  <c r="EO25" i="6"/>
  <c r="EZ25" i="6" s="1"/>
  <c r="EK23" i="6"/>
  <c r="EV23" i="6" s="1"/>
  <c r="EG21" i="6"/>
  <c r="ER21" i="6" s="1"/>
  <c r="EI25" i="6"/>
  <c r="ET25" i="6" s="1"/>
  <c r="EO24" i="6"/>
  <c r="EZ24" i="6" s="1"/>
  <c r="EK22" i="6"/>
  <c r="EV22" i="6" s="1"/>
  <c r="EG26" i="6"/>
  <c r="ER26" i="6" s="1"/>
  <c r="EM25" i="6"/>
  <c r="EX25" i="6" s="1"/>
  <c r="EI23" i="6"/>
  <c r="ET23" i="6" s="1"/>
  <c r="EO22" i="6"/>
  <c r="EZ22" i="6" s="1"/>
  <c r="EI26" i="6"/>
  <c r="ET26" i="6" s="1"/>
  <c r="EH17" i="6"/>
  <c r="ES17" i="6" s="1"/>
  <c r="EM20" i="6"/>
  <c r="EX20" i="6" s="1"/>
  <c r="EH16" i="6"/>
  <c r="ES16" i="6" s="1"/>
  <c r="EI17" i="6"/>
  <c r="ET17" i="6" s="1"/>
  <c r="EJ17" i="6"/>
  <c r="EU17" i="6" s="1"/>
  <c r="EK16" i="6"/>
  <c r="EV16" i="6" s="1"/>
  <c r="EM18" i="6"/>
  <c r="EX18" i="6" s="1"/>
  <c r="EO19" i="6"/>
  <c r="EZ19" i="6" s="1"/>
  <c r="EF19" i="6"/>
  <c r="EQ19" i="6" s="1"/>
  <c r="EI16" i="6"/>
  <c r="ET16" i="6" s="1"/>
  <c r="EF18" i="6"/>
  <c r="EQ18" i="6" s="1"/>
  <c r="EI18" i="6"/>
  <c r="ET18" i="6" s="1"/>
  <c r="EL20" i="6"/>
  <c r="EW20" i="6" s="1"/>
  <c r="EJ16" i="6"/>
  <c r="EU16" i="6" s="1"/>
  <c r="EG19" i="6"/>
  <c r="ER19" i="6" s="1"/>
  <c r="EF17" i="6"/>
  <c r="EQ17" i="6" s="1"/>
  <c r="EK18" i="6"/>
  <c r="EV18" i="6" s="1"/>
  <c r="EJ18" i="6"/>
  <c r="EU18" i="6" s="1"/>
  <c r="EH20" i="6"/>
  <c r="ES20" i="6" s="1"/>
  <c r="EK20" i="6"/>
  <c r="EV20" i="6" s="1"/>
  <c r="EO18" i="6"/>
  <c r="EZ18" i="6" s="1"/>
  <c r="EF20" i="6"/>
  <c r="EQ20" i="6" s="1"/>
  <c r="EL16" i="6"/>
  <c r="EW16" i="6" s="1"/>
  <c r="EO20" i="6"/>
  <c r="EZ20" i="6" s="1"/>
  <c r="EI19" i="6"/>
  <c r="ET19" i="6" s="1"/>
  <c r="EJ20" i="6"/>
  <c r="EU20" i="6" s="1"/>
  <c r="EN20" i="6"/>
  <c r="EY20" i="6" s="1"/>
  <c r="EN18" i="6"/>
  <c r="EY18" i="6" s="1"/>
  <c r="EL18" i="6"/>
  <c r="EW18" i="6" s="1"/>
  <c r="EO17" i="6"/>
  <c r="EZ17" i="6" s="1"/>
  <c r="EN16" i="6"/>
  <c r="EY16" i="6" s="1"/>
  <c r="EL19" i="6"/>
  <c r="EW19" i="6" s="1"/>
  <c r="EM17" i="6"/>
  <c r="EX17" i="6" s="1"/>
  <c r="EM19" i="6"/>
  <c r="EX19" i="6" s="1"/>
  <c r="EI20" i="6"/>
  <c r="ET20" i="6" s="1"/>
  <c r="EM16" i="6"/>
  <c r="EX16" i="6" s="1"/>
  <c r="EJ19" i="6"/>
  <c r="EU19" i="6" s="1"/>
  <c r="EN17" i="6"/>
  <c r="EY17" i="6" s="1"/>
  <c r="EG18" i="6"/>
  <c r="ER18" i="6" s="1"/>
  <c r="EL17" i="6"/>
  <c r="EW17" i="6" s="1"/>
  <c r="EK19" i="6"/>
  <c r="EV19" i="6" s="1"/>
  <c r="EO16" i="6"/>
  <c r="EZ16" i="6" s="1"/>
  <c r="EH18" i="6"/>
  <c r="ES18" i="6" s="1"/>
  <c r="EK17" i="6"/>
  <c r="EV17" i="6" s="1"/>
  <c r="EG17" i="6"/>
  <c r="ER17" i="6" s="1"/>
  <c r="EH19" i="6"/>
  <c r="ES19" i="6" s="1"/>
  <c r="EN19" i="6"/>
  <c r="EY19" i="6" s="1"/>
  <c r="EG16" i="6"/>
  <c r="ER16" i="6" s="1"/>
  <c r="EG20" i="6"/>
  <c r="ER20" i="6" s="1"/>
  <c r="DU30" i="6" l="1" a="1"/>
  <c r="EH33" i="6" l="1"/>
  <c r="EJ35" i="6"/>
  <c r="EL37" i="6"/>
  <c r="EG40" i="6"/>
  <c r="EF31" i="6"/>
  <c r="EH31" i="6"/>
  <c r="EJ33" i="6"/>
  <c r="EG38" i="6"/>
  <c r="EI40" i="6"/>
  <c r="EM33" i="6"/>
  <c r="EJ38" i="6"/>
  <c r="EM31" i="6"/>
  <c r="EH34" i="6"/>
  <c r="EJ36" i="6"/>
  <c r="EL38" i="6"/>
  <c r="EF40" i="6"/>
  <c r="EG32" i="6"/>
  <c r="EI34" i="6"/>
  <c r="EK36" i="6"/>
  <c r="EM38" i="6"/>
  <c r="EF39" i="6"/>
  <c r="EH32" i="6"/>
  <c r="EJ34" i="6"/>
  <c r="EL36" i="6"/>
  <c r="EG39" i="6"/>
  <c r="EF38" i="6"/>
  <c r="EI32" i="6"/>
  <c r="EK34" i="6"/>
  <c r="EM36" i="6"/>
  <c r="EH39" i="6"/>
  <c r="EF37" i="6"/>
  <c r="EJ32" i="6"/>
  <c r="EL34" i="6"/>
  <c r="EG37" i="6"/>
  <c r="EI39" i="6"/>
  <c r="EF36" i="6"/>
  <c r="EK32" i="6"/>
  <c r="EM34" i="6"/>
  <c r="EH37" i="6"/>
  <c r="EJ39" i="6"/>
  <c r="EF35" i="6"/>
  <c r="EL32" i="6"/>
  <c r="EG35" i="6"/>
  <c r="EI37" i="6"/>
  <c r="EK39" i="6"/>
  <c r="EF34" i="6"/>
  <c r="EM32" i="6"/>
  <c r="EH35" i="6"/>
  <c r="EJ37" i="6"/>
  <c r="EL39" i="6"/>
  <c r="EF33" i="6"/>
  <c r="EG33" i="6"/>
  <c r="EI35" i="6"/>
  <c r="EK37" i="6"/>
  <c r="EM39" i="6"/>
  <c r="EF32" i="6"/>
  <c r="EG31" i="6"/>
  <c r="EI33" i="6"/>
  <c r="EK35" i="6"/>
  <c r="EM37" i="6"/>
  <c r="EH40" i="6"/>
  <c r="EJ30" i="6"/>
  <c r="EL35" i="6"/>
  <c r="EG34" i="6"/>
  <c r="EK38" i="6"/>
  <c r="EI31" i="6"/>
  <c r="EK33" i="6"/>
  <c r="EM35" i="6"/>
  <c r="EH38" i="6"/>
  <c r="EJ40" i="6"/>
  <c r="EJ31" i="6"/>
  <c r="EL33" i="6"/>
  <c r="EG36" i="6"/>
  <c r="EI38" i="6"/>
  <c r="EK40" i="6"/>
  <c r="EK31" i="6"/>
  <c r="EH36" i="6"/>
  <c r="EL40" i="6"/>
  <c r="EL31" i="6"/>
  <c r="EI36" i="6"/>
  <c r="EM40" i="6"/>
  <c r="DU30" i="6"/>
  <c r="EF30" i="6" s="1"/>
  <c r="EG30" i="6"/>
  <c r="EH30" i="6"/>
  <c r="EI30" i="6"/>
  <c r="EK30" i="6"/>
  <c r="EM30" i="6"/>
  <c r="EL30" i="6"/>
  <c r="EF43" i="6" l="1" a="1"/>
  <c r="EF43" i="6" s="1"/>
  <c r="EG43" i="6" a="1"/>
  <c r="EG43" i="6" s="1"/>
  <c r="EK43" i="6" a="1"/>
  <c r="EK43" i="6" s="1"/>
  <c r="EI43" i="6" a="1"/>
  <c r="EI43" i="6" s="1"/>
  <c r="EJ43" i="6" a="1"/>
  <c r="EJ43" i="6" s="1"/>
  <c r="EL43" i="6" a="1"/>
  <c r="EL43" i="6" s="1"/>
  <c r="EH43" i="6" a="1"/>
  <c r="EH43" i="6" s="1"/>
  <c r="EM43" i="6" a="1"/>
  <c r="EM43" i="6" s="1"/>
  <c r="EF46" i="6" a="1"/>
  <c r="EF46" i="6" l="1"/>
  <c r="V14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<sst xmlns="http://schemas.openxmlformats.org/spreadsheetml/2006/main" count="1931" uniqueCount="1252">
  <si>
    <t>字典</t>
    <phoneticPr fontId="1"/>
  </si>
  <si>
    <t>词嵌入</t>
    <phoneticPr fontId="1"/>
  </si>
  <si>
    <t>+</t>
    <phoneticPr fontId="1"/>
  </si>
  <si>
    <t>=</t>
    <phoneticPr fontId="1"/>
  </si>
  <si>
    <t>WQ</t>
    <phoneticPr fontId="1"/>
  </si>
  <si>
    <t>WK</t>
    <phoneticPr fontId="1"/>
  </si>
  <si>
    <t>WV</t>
    <phoneticPr fontId="1"/>
  </si>
  <si>
    <t>Q</t>
    <phoneticPr fontId="1"/>
  </si>
  <si>
    <t>K</t>
    <phoneticPr fontId="1"/>
  </si>
  <si>
    <t>V</t>
    <phoneticPr fontId="1"/>
  </si>
  <si>
    <t>Q*KT/sqrt(d)</t>
    <phoneticPr fontId="1"/>
  </si>
  <si>
    <t>Softmax</t>
    <phoneticPr fontId="1"/>
  </si>
  <si>
    <t>AV</t>
    <phoneticPr fontId="1"/>
  </si>
  <si>
    <t>词嵌入向量</t>
    <phoneticPr fontId="1"/>
  </si>
  <si>
    <t>输入张量(X)</t>
    <phoneticPr fontId="1"/>
  </si>
  <si>
    <t>青</t>
  </si>
  <si>
    <t>ReLU</t>
    <phoneticPr fontId="1"/>
  </si>
  <si>
    <t>$</t>
    <phoneticPr fontId="1"/>
  </si>
  <si>
    <t>FFNX+Bias</t>
    <phoneticPr fontId="1"/>
  </si>
  <si>
    <r>
      <rPr>
        <sz val="11"/>
        <color theme="1"/>
        <rFont val="Yu Gothic"/>
        <family val="2"/>
        <charset val="128"/>
      </rPr>
      <t>Proj</t>
    </r>
    <r>
      <rPr>
        <sz val="11"/>
        <color theme="1"/>
        <rFont val="微软雅黑"/>
        <family val="2"/>
        <charset val="134"/>
      </rPr>
      <t>X</t>
    </r>
    <phoneticPr fontId="1"/>
  </si>
  <si>
    <t>ProjX+Bias</t>
    <phoneticPr fontId="1"/>
  </si>
  <si>
    <t>LM</t>
    <phoneticPr fontId="1"/>
  </si>
  <si>
    <t>琴</t>
  </si>
  <si>
    <t>少</t>
  </si>
  <si>
    <t>东</t>
  </si>
  <si>
    <t>一</t>
  </si>
  <si>
    <t>万</t>
  </si>
  <si>
    <t>三</t>
  </si>
  <si>
    <t>上</t>
  </si>
  <si>
    <t>下</t>
  </si>
  <si>
    <t>不</t>
  </si>
  <si>
    <t>与</t>
  </si>
  <si>
    <t>且</t>
  </si>
  <si>
    <t>世</t>
  </si>
  <si>
    <t>丘</t>
  </si>
  <si>
    <t>两</t>
  </si>
  <si>
    <t>中</t>
  </si>
  <si>
    <t>临</t>
  </si>
  <si>
    <t>丹</t>
  </si>
  <si>
    <t>为</t>
  </si>
  <si>
    <t>主</t>
  </si>
  <si>
    <t>丽</t>
  </si>
  <si>
    <t>举</t>
  </si>
  <si>
    <t>久</t>
  </si>
  <si>
    <t>之</t>
  </si>
  <si>
    <t>乐</t>
  </si>
  <si>
    <t>乘</t>
  </si>
  <si>
    <t>九</t>
  </si>
  <si>
    <t>乡</t>
  </si>
  <si>
    <t>书</t>
  </si>
  <si>
    <t>乱</t>
  </si>
  <si>
    <t>争</t>
  </si>
  <si>
    <t>事</t>
  </si>
  <si>
    <t>二</t>
  </si>
  <si>
    <t>于</t>
  </si>
  <si>
    <t>云</t>
  </si>
  <si>
    <t>五</t>
  </si>
  <si>
    <t>井</t>
  </si>
  <si>
    <t>交</t>
  </si>
  <si>
    <t>亦</t>
  </si>
  <si>
    <t>京</t>
  </si>
  <si>
    <t>亭</t>
  </si>
  <si>
    <t>亲</t>
  </si>
  <si>
    <t>人</t>
  </si>
  <si>
    <t>今</t>
  </si>
  <si>
    <t>仍</t>
  </si>
  <si>
    <t>从</t>
  </si>
  <si>
    <t>他</t>
  </si>
  <si>
    <t>仙</t>
  </si>
  <si>
    <t>代</t>
  </si>
  <si>
    <t>令</t>
  </si>
  <si>
    <t>以</t>
  </si>
  <si>
    <t>任</t>
  </si>
  <si>
    <t>伊</t>
  </si>
  <si>
    <t>休</t>
  </si>
  <si>
    <t>众</t>
  </si>
  <si>
    <t>会</t>
  </si>
  <si>
    <t>传</t>
  </si>
  <si>
    <t>伤</t>
  </si>
  <si>
    <t>伴</t>
  </si>
  <si>
    <t>似</t>
  </si>
  <si>
    <t>但</t>
  </si>
  <si>
    <t>低</t>
  </si>
  <si>
    <t>住</t>
  </si>
  <si>
    <t>何</t>
  </si>
  <si>
    <t>余</t>
  </si>
  <si>
    <t>作</t>
  </si>
  <si>
    <t>佳</t>
  </si>
  <si>
    <t>使</t>
  </si>
  <si>
    <t>依</t>
  </si>
  <si>
    <t>侣</t>
  </si>
  <si>
    <t>侵</t>
  </si>
  <si>
    <t>便</t>
  </si>
  <si>
    <t>俗</t>
  </si>
  <si>
    <t>信</t>
  </si>
  <si>
    <t>修</t>
  </si>
  <si>
    <t>候</t>
  </si>
  <si>
    <t>倚</t>
  </si>
  <si>
    <t>借</t>
  </si>
  <si>
    <t>倾</t>
  </si>
  <si>
    <t>偏</t>
  </si>
  <si>
    <t>停</t>
  </si>
  <si>
    <t>偶</t>
  </si>
  <si>
    <t>催</t>
  </si>
  <si>
    <t>僧</t>
  </si>
  <si>
    <t>儒</t>
  </si>
  <si>
    <t>元</t>
  </si>
  <si>
    <t>先</t>
  </si>
  <si>
    <t>光</t>
  </si>
  <si>
    <t>入</t>
  </si>
  <si>
    <t>全</t>
  </si>
  <si>
    <t>八</t>
  </si>
  <si>
    <t>公</t>
  </si>
  <si>
    <t>兰</t>
  </si>
  <si>
    <t>共</t>
  </si>
  <si>
    <t>关</t>
  </si>
  <si>
    <t>兴</t>
  </si>
  <si>
    <t>兵</t>
  </si>
  <si>
    <t>其</t>
  </si>
  <si>
    <t>兹</t>
  </si>
  <si>
    <t>兼</t>
  </si>
  <si>
    <t>内</t>
  </si>
  <si>
    <t>再</t>
  </si>
  <si>
    <t>冠</t>
  </si>
  <si>
    <t>冥</t>
  </si>
  <si>
    <t>冷</t>
  </si>
  <si>
    <t>凄</t>
  </si>
  <si>
    <t>凉</t>
  </si>
  <si>
    <t>凌</t>
  </si>
  <si>
    <t>凝</t>
  </si>
  <si>
    <t>几</t>
  </si>
  <si>
    <t>凤</t>
  </si>
  <si>
    <t>出</t>
  </si>
  <si>
    <t>分</t>
  </si>
  <si>
    <t>列</t>
  </si>
  <si>
    <t>初</t>
  </si>
  <si>
    <t>利</t>
  </si>
  <si>
    <t>别</t>
  </si>
  <si>
    <t>到</t>
  </si>
  <si>
    <t>前</t>
  </si>
  <si>
    <t>剑</t>
  </si>
  <si>
    <t>力</t>
  </si>
  <si>
    <t>功</t>
  </si>
  <si>
    <t>动</t>
  </si>
  <si>
    <t>劳</t>
  </si>
  <si>
    <t>势</t>
  </si>
  <si>
    <t>勤</t>
  </si>
  <si>
    <t>勿</t>
  </si>
  <si>
    <t>化</t>
  </si>
  <si>
    <t>北</t>
  </si>
  <si>
    <t>十</t>
  </si>
  <si>
    <t>千</t>
  </si>
  <si>
    <t>升</t>
  </si>
  <si>
    <t>半</t>
  </si>
  <si>
    <t>华</t>
  </si>
  <si>
    <t>南</t>
  </si>
  <si>
    <t>危</t>
  </si>
  <si>
    <t>即</t>
  </si>
  <si>
    <t>却</t>
  </si>
  <si>
    <t>卷</t>
  </si>
  <si>
    <t>厌</t>
  </si>
  <si>
    <t>去</t>
  </si>
  <si>
    <t>县</t>
  </si>
  <si>
    <t>参</t>
  </si>
  <si>
    <t>又</t>
  </si>
  <si>
    <t>及</t>
  </si>
  <si>
    <t>友</t>
  </si>
  <si>
    <t>双</t>
  </si>
  <si>
    <t>发</t>
  </si>
  <si>
    <t>取</t>
  </si>
  <si>
    <t>受</t>
  </si>
  <si>
    <t>变</t>
  </si>
  <si>
    <t>口</t>
  </si>
  <si>
    <t>古</t>
  </si>
  <si>
    <t>只</t>
  </si>
  <si>
    <t>可</t>
  </si>
  <si>
    <t>台</t>
  </si>
  <si>
    <t>史</t>
  </si>
  <si>
    <t>叶</t>
  </si>
  <si>
    <t>叹</t>
  </si>
  <si>
    <t>各</t>
  </si>
  <si>
    <t>合</t>
  </si>
  <si>
    <t>同</t>
  </si>
  <si>
    <t>名</t>
  </si>
  <si>
    <t>后</t>
  </si>
  <si>
    <t>吏</t>
  </si>
  <si>
    <t>向</t>
  </si>
  <si>
    <t>君</t>
  </si>
  <si>
    <t>吟</t>
  </si>
  <si>
    <t>含</t>
  </si>
  <si>
    <t>听</t>
  </si>
  <si>
    <t>吴</t>
  </si>
  <si>
    <t>吹</t>
  </si>
  <si>
    <t>吾</t>
  </si>
  <si>
    <t>周</t>
  </si>
  <si>
    <t>命</t>
  </si>
  <si>
    <t>和</t>
  </si>
  <si>
    <t>咏</t>
  </si>
  <si>
    <t>哉</t>
  </si>
  <si>
    <t>响</t>
  </si>
  <si>
    <t>哭</t>
  </si>
  <si>
    <t>唯</t>
  </si>
  <si>
    <t>啼</t>
  </si>
  <si>
    <t>喜</t>
  </si>
  <si>
    <t>喧</t>
  </si>
  <si>
    <t>嗟</t>
  </si>
  <si>
    <t>四</t>
  </si>
  <si>
    <t>回</t>
  </si>
  <si>
    <t>因</t>
  </si>
  <si>
    <t>园</t>
  </si>
  <si>
    <t>固</t>
  </si>
  <si>
    <t>国</t>
  </si>
  <si>
    <t>图</t>
  </si>
  <si>
    <t>圆</t>
  </si>
  <si>
    <t>土</t>
  </si>
  <si>
    <t>圣</t>
  </si>
  <si>
    <t>在</t>
  </si>
  <si>
    <t>地</t>
  </si>
  <si>
    <t>坐</t>
  </si>
  <si>
    <t>垂</t>
  </si>
  <si>
    <t>城</t>
  </si>
  <si>
    <t>堂</t>
  </si>
  <si>
    <t>堪</t>
  </si>
  <si>
    <t>塘</t>
  </si>
  <si>
    <t>塞</t>
  </si>
  <si>
    <t>壁</t>
  </si>
  <si>
    <t>壑</t>
  </si>
  <si>
    <t>士</t>
  </si>
  <si>
    <t>壮</t>
  </si>
  <si>
    <t>声</t>
  </si>
  <si>
    <t>处</t>
  </si>
  <si>
    <t>复</t>
  </si>
  <si>
    <t>夏</t>
  </si>
  <si>
    <t>夕</t>
  </si>
  <si>
    <t>外</t>
  </si>
  <si>
    <t>多</t>
  </si>
  <si>
    <t>夜</t>
  </si>
  <si>
    <t>大</t>
  </si>
  <si>
    <t>天</t>
  </si>
  <si>
    <t>太</t>
  </si>
  <si>
    <t>夫</t>
  </si>
  <si>
    <t>失</t>
  </si>
  <si>
    <t>头</t>
  </si>
  <si>
    <t>奇</t>
  </si>
  <si>
    <t>奉</t>
  </si>
  <si>
    <t>女</t>
  </si>
  <si>
    <t>好</t>
  </si>
  <si>
    <t>如</t>
  </si>
  <si>
    <t>妾</t>
  </si>
  <si>
    <t>始</t>
  </si>
  <si>
    <t>委</t>
  </si>
  <si>
    <t>子</t>
  </si>
  <si>
    <t>字</t>
  </si>
  <si>
    <t>存</t>
  </si>
  <si>
    <t>孤</t>
  </si>
  <si>
    <t>学</t>
  </si>
  <si>
    <t>宁</t>
  </si>
  <si>
    <t>安</t>
  </si>
  <si>
    <t>官</t>
  </si>
  <si>
    <t>定</t>
  </si>
  <si>
    <t>宜</t>
  </si>
  <si>
    <t>宝</t>
  </si>
  <si>
    <t>实</t>
  </si>
  <si>
    <t>客</t>
  </si>
  <si>
    <t>室</t>
  </si>
  <si>
    <t>宫</t>
  </si>
  <si>
    <t>宴</t>
  </si>
  <si>
    <t>宵</t>
  </si>
  <si>
    <t>家</t>
  </si>
  <si>
    <t>容</t>
  </si>
  <si>
    <t>宾</t>
  </si>
  <si>
    <t>宿</t>
  </si>
  <si>
    <t>寂</t>
  </si>
  <si>
    <t>寄</t>
  </si>
  <si>
    <t>密</t>
  </si>
  <si>
    <t>寒</t>
  </si>
  <si>
    <t>寞</t>
  </si>
  <si>
    <t>寥</t>
  </si>
  <si>
    <t>对</t>
  </si>
  <si>
    <t>寺</t>
  </si>
  <si>
    <t>寻</t>
  </si>
  <si>
    <t>封</t>
  </si>
  <si>
    <t>将</t>
  </si>
  <si>
    <t>尊</t>
  </si>
  <si>
    <t>小</t>
  </si>
  <si>
    <t>尔</t>
  </si>
  <si>
    <t>尘</t>
  </si>
  <si>
    <t>尚</t>
  </si>
  <si>
    <t>就</t>
  </si>
  <si>
    <t>尺</t>
  </si>
  <si>
    <t>尽</t>
  </si>
  <si>
    <t>居</t>
  </si>
  <si>
    <t>屋</t>
  </si>
  <si>
    <t>属</t>
  </si>
  <si>
    <t>山</t>
  </si>
  <si>
    <t>岁</t>
  </si>
  <si>
    <t>岂</t>
  </si>
  <si>
    <t>岛</t>
  </si>
  <si>
    <t>岩</t>
  </si>
  <si>
    <t>岭</t>
  </si>
  <si>
    <t>岳</t>
  </si>
  <si>
    <t>岸</t>
  </si>
  <si>
    <t>峡</t>
  </si>
  <si>
    <t>峰</t>
  </si>
  <si>
    <t>川</t>
  </si>
  <si>
    <t>州</t>
  </si>
  <si>
    <t>差</t>
  </si>
  <si>
    <t>已</t>
  </si>
  <si>
    <t>巴</t>
  </si>
  <si>
    <t>巾</t>
  </si>
  <si>
    <t>帆</t>
  </si>
  <si>
    <t>师</t>
  </si>
  <si>
    <t>帘</t>
  </si>
  <si>
    <t>帝</t>
  </si>
  <si>
    <t>带</t>
  </si>
  <si>
    <t>席</t>
  </si>
  <si>
    <t>常</t>
  </si>
  <si>
    <t>幕</t>
  </si>
  <si>
    <t>干</t>
  </si>
  <si>
    <t>平</t>
  </si>
  <si>
    <t>年</t>
  </si>
  <si>
    <t>并</t>
  </si>
  <si>
    <t>幸</t>
  </si>
  <si>
    <t>幽</t>
  </si>
  <si>
    <t>广</t>
  </si>
  <si>
    <t>床</t>
  </si>
  <si>
    <t>应</t>
  </si>
  <si>
    <t>底</t>
  </si>
  <si>
    <t>府</t>
  </si>
  <si>
    <t>度</t>
  </si>
  <si>
    <t>庭</t>
  </si>
  <si>
    <t>延</t>
  </si>
  <si>
    <t>开</t>
  </si>
  <si>
    <t>异</t>
  </si>
  <si>
    <t>弃</t>
  </si>
  <si>
    <t>引</t>
  </si>
  <si>
    <t>强</t>
  </si>
  <si>
    <t>归</t>
  </si>
  <si>
    <t>当</t>
  </si>
  <si>
    <t>彩</t>
  </si>
  <si>
    <t>影</t>
  </si>
  <si>
    <t>往</t>
  </si>
  <si>
    <t>征</t>
  </si>
  <si>
    <t>径</t>
  </si>
  <si>
    <t>待</t>
  </si>
  <si>
    <t>徒</t>
  </si>
  <si>
    <t>得</t>
  </si>
  <si>
    <t>御</t>
  </si>
  <si>
    <t>微</t>
  </si>
  <si>
    <t>心</t>
  </si>
  <si>
    <t>必</t>
  </si>
  <si>
    <t>忆</t>
  </si>
  <si>
    <t>忘</t>
  </si>
  <si>
    <t>忧</t>
  </si>
  <si>
    <t>念</t>
  </si>
  <si>
    <t>忽</t>
  </si>
  <si>
    <t>怀</t>
  </si>
  <si>
    <t>怅</t>
  </si>
  <si>
    <t>怜</t>
  </si>
  <si>
    <t>思</t>
  </si>
  <si>
    <t>急</t>
  </si>
  <si>
    <t>恋</t>
  </si>
  <si>
    <t>恐</t>
  </si>
  <si>
    <t>恨</t>
  </si>
  <si>
    <t>恩</t>
  </si>
  <si>
    <t>息</t>
  </si>
  <si>
    <t>悠</t>
  </si>
  <si>
    <t>悬</t>
  </si>
  <si>
    <t>悲</t>
  </si>
  <si>
    <t>情</t>
  </si>
  <si>
    <t>惊</t>
  </si>
  <si>
    <t>惜</t>
  </si>
  <si>
    <t>惟</t>
  </si>
  <si>
    <t>想</t>
  </si>
  <si>
    <t>愁</t>
  </si>
  <si>
    <t>意</t>
  </si>
  <si>
    <t>感</t>
  </si>
  <si>
    <t>愧</t>
  </si>
  <si>
    <t>愿</t>
  </si>
  <si>
    <t>成</t>
  </si>
  <si>
    <t>我</t>
  </si>
  <si>
    <t>或</t>
  </si>
  <si>
    <t>户</t>
  </si>
  <si>
    <t>所</t>
  </si>
  <si>
    <t>扉</t>
  </si>
  <si>
    <t>手</t>
  </si>
  <si>
    <t>才</t>
  </si>
  <si>
    <t>扬</t>
  </si>
  <si>
    <t>承</t>
  </si>
  <si>
    <t>折</t>
  </si>
  <si>
    <t>报</t>
  </si>
  <si>
    <t>抱</t>
  </si>
  <si>
    <t>拂</t>
  </si>
  <si>
    <t>拜</t>
  </si>
  <si>
    <t>拥</t>
  </si>
  <si>
    <t>持</t>
  </si>
  <si>
    <t>挂</t>
  </si>
  <si>
    <t>指</t>
  </si>
  <si>
    <t>接</t>
  </si>
  <si>
    <t>掩</t>
  </si>
  <si>
    <t>携</t>
  </si>
  <si>
    <t>摇</t>
  </si>
  <si>
    <t>攀</t>
  </si>
  <si>
    <t>收</t>
  </si>
  <si>
    <t>改</t>
  </si>
  <si>
    <t>放</t>
  </si>
  <si>
    <t>故</t>
  </si>
  <si>
    <t>散</t>
  </si>
  <si>
    <t>数</t>
  </si>
  <si>
    <t>文</t>
  </si>
  <si>
    <t>斋</t>
  </si>
  <si>
    <t>斗</t>
  </si>
  <si>
    <t>斜</t>
  </si>
  <si>
    <t>断</t>
  </si>
  <si>
    <t>新</t>
  </si>
  <si>
    <t>方</t>
  </si>
  <si>
    <t>旅</t>
  </si>
  <si>
    <t>旌</t>
  </si>
  <si>
    <t>旗</t>
  </si>
  <si>
    <t>无</t>
  </si>
  <si>
    <t>既</t>
  </si>
  <si>
    <t>日</t>
  </si>
  <si>
    <t>旧</t>
  </si>
  <si>
    <t>早</t>
  </si>
  <si>
    <t>时</t>
  </si>
  <si>
    <t>明</t>
  </si>
  <si>
    <t>昏</t>
  </si>
  <si>
    <t>易</t>
  </si>
  <si>
    <t>昔</t>
  </si>
  <si>
    <t>星</t>
  </si>
  <si>
    <t>春</t>
  </si>
  <si>
    <t>昨</t>
  </si>
  <si>
    <t>是</t>
  </si>
  <si>
    <t>昼</t>
  </si>
  <si>
    <t>晓</t>
  </si>
  <si>
    <t>晚</t>
  </si>
  <si>
    <t>景</t>
  </si>
  <si>
    <t>晴</t>
  </si>
  <si>
    <t>暂</t>
  </si>
  <si>
    <t>暑</t>
  </si>
  <si>
    <t>暖</t>
  </si>
  <si>
    <t>暗</t>
  </si>
  <si>
    <t>暮</t>
  </si>
  <si>
    <t>曙</t>
  </si>
  <si>
    <t>曲</t>
  </si>
  <si>
    <t>更</t>
  </si>
  <si>
    <t>曾</t>
  </si>
  <si>
    <t>月</t>
  </si>
  <si>
    <t>有</t>
  </si>
  <si>
    <t>服</t>
  </si>
  <si>
    <t>望</t>
  </si>
  <si>
    <t>朝</t>
  </si>
  <si>
    <t>期</t>
  </si>
  <si>
    <t>木</t>
  </si>
  <si>
    <t>未</t>
  </si>
  <si>
    <t>本</t>
  </si>
  <si>
    <t>朱</t>
  </si>
  <si>
    <t>机</t>
  </si>
  <si>
    <t>杂</t>
  </si>
  <si>
    <t>李</t>
  </si>
  <si>
    <t>村</t>
  </si>
  <si>
    <t>杖</t>
  </si>
  <si>
    <t>条</t>
  </si>
  <si>
    <t>来</t>
  </si>
  <si>
    <t>杨</t>
  </si>
  <si>
    <t>杯</t>
  </si>
  <si>
    <t>杳</t>
  </si>
  <si>
    <t>松</t>
  </si>
  <si>
    <t>极</t>
  </si>
  <si>
    <t>枕</t>
  </si>
  <si>
    <t>林</t>
  </si>
  <si>
    <t>果</t>
  </si>
  <si>
    <t>枝</t>
  </si>
  <si>
    <t>枯</t>
  </si>
  <si>
    <t>柏</t>
  </si>
  <si>
    <t>柳</t>
  </si>
  <si>
    <t>树</t>
  </si>
  <si>
    <t>栖</t>
  </si>
  <si>
    <t>根</t>
  </si>
  <si>
    <t>桂</t>
  </si>
  <si>
    <t>桃</t>
  </si>
  <si>
    <t>桐</t>
  </si>
  <si>
    <t>桥</t>
  </si>
  <si>
    <t>梅</t>
  </si>
  <si>
    <t>梦</t>
  </si>
  <si>
    <t>楚</t>
  </si>
  <si>
    <t>楼</t>
  </si>
  <si>
    <t>檐</t>
  </si>
  <si>
    <t>欢</t>
  </si>
  <si>
    <t>欲</t>
  </si>
  <si>
    <t>歇</t>
  </si>
  <si>
    <t>歌</t>
  </si>
  <si>
    <t>正</t>
  </si>
  <si>
    <t>此</t>
  </si>
  <si>
    <t>步</t>
  </si>
  <si>
    <t>死</t>
  </si>
  <si>
    <t>殊</t>
  </si>
  <si>
    <t>残</t>
  </si>
  <si>
    <t>殷</t>
  </si>
  <si>
    <t>殿</t>
  </si>
  <si>
    <t>比</t>
  </si>
  <si>
    <t>毛</t>
  </si>
  <si>
    <t>气</t>
  </si>
  <si>
    <t>水</t>
  </si>
  <si>
    <t>永</t>
  </si>
  <si>
    <t>求</t>
  </si>
  <si>
    <t>汉</t>
  </si>
  <si>
    <t>江</t>
  </si>
  <si>
    <t>池</t>
  </si>
  <si>
    <t>沈</t>
  </si>
  <si>
    <t>沉</t>
  </si>
  <si>
    <t>沙</t>
  </si>
  <si>
    <t>没</t>
  </si>
  <si>
    <t>沧</t>
  </si>
  <si>
    <t>河</t>
  </si>
  <si>
    <t>沾</t>
  </si>
  <si>
    <t>泉</t>
  </si>
  <si>
    <t>法</t>
  </si>
  <si>
    <t>泛</t>
  </si>
  <si>
    <t>波</t>
  </si>
  <si>
    <t>泣</t>
  </si>
  <si>
    <t>泥</t>
  </si>
  <si>
    <t>泪</t>
  </si>
  <si>
    <t>泽</t>
  </si>
  <si>
    <t>洛</t>
  </si>
  <si>
    <t>洞</t>
  </si>
  <si>
    <t>津</t>
  </si>
  <si>
    <t>洲</t>
  </si>
  <si>
    <t>流</t>
  </si>
  <si>
    <t>浅</t>
  </si>
  <si>
    <t>浦</t>
  </si>
  <si>
    <t>浩</t>
  </si>
  <si>
    <t>浪</t>
  </si>
  <si>
    <t>浮</t>
  </si>
  <si>
    <t>海</t>
  </si>
  <si>
    <t>涛</t>
  </si>
  <si>
    <t>涯</t>
  </si>
  <si>
    <t>深</t>
  </si>
  <si>
    <t>清</t>
  </si>
  <si>
    <t>渐</t>
  </si>
  <si>
    <t>渡</t>
  </si>
  <si>
    <t>游</t>
  </si>
  <si>
    <t>湖</t>
  </si>
  <si>
    <t>湘</t>
  </si>
  <si>
    <t>湿</t>
  </si>
  <si>
    <t>源</t>
  </si>
  <si>
    <t>溪</t>
  </si>
  <si>
    <t>满</t>
  </si>
  <si>
    <t>漏</t>
  </si>
  <si>
    <t>漫</t>
  </si>
  <si>
    <t>潜</t>
  </si>
  <si>
    <t>潭</t>
  </si>
  <si>
    <t>潮</t>
  </si>
  <si>
    <t>火</t>
  </si>
  <si>
    <t>灭</t>
  </si>
  <si>
    <t>灯</t>
  </si>
  <si>
    <t>灵</t>
  </si>
  <si>
    <t>炉</t>
  </si>
  <si>
    <t>烟</t>
  </si>
  <si>
    <t>烦</t>
  </si>
  <si>
    <t>烧</t>
  </si>
  <si>
    <t>然</t>
  </si>
  <si>
    <t>照</t>
  </si>
  <si>
    <t>燕</t>
  </si>
  <si>
    <t>爱</t>
  </si>
  <si>
    <t>片</t>
  </si>
  <si>
    <t>牛</t>
  </si>
  <si>
    <t>物</t>
  </si>
  <si>
    <t>牵</t>
  </si>
  <si>
    <t>犹</t>
  </si>
  <si>
    <t>狂</t>
  </si>
  <si>
    <t>独</t>
  </si>
  <si>
    <t>献</t>
  </si>
  <si>
    <t>猿</t>
  </si>
  <si>
    <t>玄</t>
  </si>
  <si>
    <t>玉</t>
  </si>
  <si>
    <t>王</t>
  </si>
  <si>
    <t>理</t>
  </si>
  <si>
    <t>琼</t>
  </si>
  <si>
    <t>瑶</t>
  </si>
  <si>
    <t>甘</t>
  </si>
  <si>
    <t>生</t>
  </si>
  <si>
    <t>用</t>
  </si>
  <si>
    <t>田</t>
  </si>
  <si>
    <t>由</t>
  </si>
  <si>
    <t>画</t>
  </si>
  <si>
    <t>留</t>
  </si>
  <si>
    <t>疑</t>
  </si>
  <si>
    <t>疾</t>
  </si>
  <si>
    <t>病</t>
  </si>
  <si>
    <t>登</t>
  </si>
  <si>
    <t>白</t>
  </si>
  <si>
    <t>百</t>
  </si>
  <si>
    <t>皆</t>
  </si>
  <si>
    <t>盖</t>
  </si>
  <si>
    <t>盘</t>
  </si>
  <si>
    <t>盛</t>
  </si>
  <si>
    <t>目</t>
  </si>
  <si>
    <t>直</t>
  </si>
  <si>
    <t>相</t>
  </si>
  <si>
    <t>省</t>
  </si>
  <si>
    <t>看</t>
  </si>
  <si>
    <t>真</t>
  </si>
  <si>
    <t>眠</t>
  </si>
  <si>
    <t>眼</t>
  </si>
  <si>
    <t>知</t>
  </si>
  <si>
    <t>短</t>
  </si>
  <si>
    <t>石</t>
  </si>
  <si>
    <t>破</t>
  </si>
  <si>
    <t>碧</t>
  </si>
  <si>
    <t>神</t>
  </si>
  <si>
    <t>禅</t>
  </si>
  <si>
    <t>离</t>
  </si>
  <si>
    <t>禽</t>
  </si>
  <si>
    <t>秋</t>
  </si>
  <si>
    <t>种</t>
  </si>
  <si>
    <t>秦</t>
  </si>
  <si>
    <t>积</t>
  </si>
  <si>
    <t>称</t>
  </si>
  <si>
    <t>移</t>
  </si>
  <si>
    <t>稀</t>
  </si>
  <si>
    <t>程</t>
  </si>
  <si>
    <t>穷</t>
  </si>
  <si>
    <t>空</t>
  </si>
  <si>
    <t>穿</t>
  </si>
  <si>
    <t>窗</t>
  </si>
  <si>
    <t>窥</t>
  </si>
  <si>
    <t>立</t>
  </si>
  <si>
    <t>章</t>
  </si>
  <si>
    <t>童</t>
  </si>
  <si>
    <t>端</t>
  </si>
  <si>
    <t>竹</t>
  </si>
  <si>
    <t>笑</t>
  </si>
  <si>
    <t>第</t>
  </si>
  <si>
    <t>篇</t>
  </si>
  <si>
    <t>精</t>
  </si>
  <si>
    <t>素</t>
  </si>
  <si>
    <t>紫</t>
  </si>
  <si>
    <t>繁</t>
  </si>
  <si>
    <t>红</t>
  </si>
  <si>
    <t>纵</t>
  </si>
  <si>
    <t>纷</t>
  </si>
  <si>
    <t>细</t>
  </si>
  <si>
    <t>终</t>
  </si>
  <si>
    <t>经</t>
  </si>
  <si>
    <t>结</t>
  </si>
  <si>
    <t>绕</t>
  </si>
  <si>
    <t>绝</t>
  </si>
  <si>
    <t>绮</t>
  </si>
  <si>
    <t>绿</t>
  </si>
  <si>
    <t>缘</t>
  </si>
  <si>
    <t>罗</t>
  </si>
  <si>
    <t>罢</t>
  </si>
  <si>
    <t>羁</t>
  </si>
  <si>
    <t>美</t>
  </si>
  <si>
    <t>羡</t>
  </si>
  <si>
    <t>群</t>
  </si>
  <si>
    <t>羽</t>
  </si>
  <si>
    <t>翁</t>
  </si>
  <si>
    <t>翠</t>
  </si>
  <si>
    <t>翻</t>
  </si>
  <si>
    <t>老</t>
  </si>
  <si>
    <t>者</t>
  </si>
  <si>
    <t>肠</t>
  </si>
  <si>
    <t>肯</t>
  </si>
  <si>
    <t>背</t>
  </si>
  <si>
    <t>胜</t>
  </si>
  <si>
    <t>胡</t>
  </si>
  <si>
    <t>能</t>
  </si>
  <si>
    <t>臣</t>
  </si>
  <si>
    <t>自</t>
  </si>
  <si>
    <t>至</t>
  </si>
  <si>
    <t>舍</t>
  </si>
  <si>
    <t>舞</t>
  </si>
  <si>
    <t>舟</t>
  </si>
  <si>
    <t>船</t>
  </si>
  <si>
    <t>良</t>
  </si>
  <si>
    <t>色</t>
  </si>
  <si>
    <t>艳</t>
  </si>
  <si>
    <t>节</t>
  </si>
  <si>
    <t>花</t>
  </si>
  <si>
    <t>芳</t>
  </si>
  <si>
    <t>苍</t>
  </si>
  <si>
    <t>苔</t>
  </si>
  <si>
    <t>若</t>
  </si>
  <si>
    <t>苦</t>
  </si>
  <si>
    <t>茅</t>
  </si>
  <si>
    <t>茫</t>
  </si>
  <si>
    <t>荆</t>
  </si>
  <si>
    <t>草</t>
  </si>
  <si>
    <t>荒</t>
  </si>
  <si>
    <t>荡</t>
  </si>
  <si>
    <t>荣</t>
  </si>
  <si>
    <t>药</t>
  </si>
  <si>
    <t>莫</t>
  </si>
  <si>
    <t>莲</t>
  </si>
  <si>
    <t>莺</t>
  </si>
  <si>
    <t>菊</t>
  </si>
  <si>
    <t>萧</t>
  </si>
  <si>
    <t>落</t>
  </si>
  <si>
    <t>薄</t>
  </si>
  <si>
    <t>藏</t>
  </si>
  <si>
    <t>虚</t>
  </si>
  <si>
    <t>虫</t>
  </si>
  <si>
    <t>虽</t>
  </si>
  <si>
    <t>蜀</t>
  </si>
  <si>
    <t>蝉</t>
  </si>
  <si>
    <t>行</t>
  </si>
  <si>
    <t>衣</t>
  </si>
  <si>
    <t>衰</t>
  </si>
  <si>
    <t>襟</t>
  </si>
  <si>
    <t>西</t>
  </si>
  <si>
    <t>要</t>
  </si>
  <si>
    <t>见</t>
  </si>
  <si>
    <t>观</t>
  </si>
  <si>
    <t>觉</t>
  </si>
  <si>
    <t>解</t>
  </si>
  <si>
    <t>言</t>
  </si>
  <si>
    <t>计</t>
  </si>
  <si>
    <t>讵</t>
  </si>
  <si>
    <t>许</t>
  </si>
  <si>
    <t>论</t>
  </si>
  <si>
    <t>访</t>
  </si>
  <si>
    <t>识</t>
  </si>
  <si>
    <t>词</t>
  </si>
  <si>
    <t>诗</t>
  </si>
  <si>
    <t>语</t>
  </si>
  <si>
    <t>说</t>
  </si>
  <si>
    <t>诸</t>
  </si>
  <si>
    <t>谁</t>
  </si>
  <si>
    <t>调</t>
  </si>
  <si>
    <t>谓</t>
  </si>
  <si>
    <t>谢</t>
  </si>
  <si>
    <t>谷</t>
  </si>
  <si>
    <t>贫</t>
  </si>
  <si>
    <t>贱</t>
  </si>
  <si>
    <t>贵</t>
  </si>
  <si>
    <t>赋</t>
  </si>
  <si>
    <t>赏</t>
  </si>
  <si>
    <t>赠</t>
  </si>
  <si>
    <t>赤</t>
  </si>
  <si>
    <t>走</t>
  </si>
  <si>
    <t>起</t>
  </si>
  <si>
    <t>越</t>
  </si>
  <si>
    <t>趋</t>
  </si>
  <si>
    <t>足</t>
  </si>
  <si>
    <t>路</t>
  </si>
  <si>
    <t>身</t>
  </si>
  <si>
    <t>车</t>
  </si>
  <si>
    <t>轩</t>
  </si>
  <si>
    <t>轮</t>
  </si>
  <si>
    <t>轻</t>
  </si>
  <si>
    <t>载</t>
  </si>
  <si>
    <t>辉</t>
  </si>
  <si>
    <t>辛</t>
  </si>
  <si>
    <t>辰</t>
  </si>
  <si>
    <t>边</t>
  </si>
  <si>
    <t>达</t>
  </si>
  <si>
    <t>过</t>
  </si>
  <si>
    <t>迎</t>
  </si>
  <si>
    <t>近</t>
  </si>
  <si>
    <t>还</t>
  </si>
  <si>
    <t>远</t>
  </si>
  <si>
    <t>连</t>
  </si>
  <si>
    <t>迥</t>
  </si>
  <si>
    <t>迷</t>
  </si>
  <si>
    <t>迹</t>
  </si>
  <si>
    <t>追</t>
  </si>
  <si>
    <t>送</t>
  </si>
  <si>
    <t>适</t>
  </si>
  <si>
    <t>逐</t>
  </si>
  <si>
    <t>途</t>
  </si>
  <si>
    <t>通</t>
  </si>
  <si>
    <t>逢</t>
  </si>
  <si>
    <t>遂</t>
  </si>
  <si>
    <t>遍</t>
  </si>
  <si>
    <t>道</t>
  </si>
  <si>
    <t>遗</t>
  </si>
  <si>
    <t>遥</t>
  </si>
  <si>
    <t>避</t>
  </si>
  <si>
    <t>邑</t>
  </si>
  <si>
    <t>那</t>
  </si>
  <si>
    <t>邻</t>
  </si>
  <si>
    <t>郁</t>
  </si>
  <si>
    <t>郊</t>
  </si>
  <si>
    <t>郎</t>
  </si>
  <si>
    <t>郡</t>
  </si>
  <si>
    <t>郭</t>
  </si>
  <si>
    <t>都</t>
  </si>
  <si>
    <t>酒</t>
  </si>
  <si>
    <t>醉</t>
  </si>
  <si>
    <t>采</t>
  </si>
  <si>
    <t>里</t>
  </si>
  <si>
    <t>重</t>
  </si>
  <si>
    <t>野</t>
  </si>
  <si>
    <t>金</t>
  </si>
  <si>
    <t>钓</t>
  </si>
  <si>
    <t>钟</t>
  </si>
  <si>
    <t>销</t>
  </si>
  <si>
    <t>锦</t>
  </si>
  <si>
    <t>镜</t>
  </si>
  <si>
    <t>长</t>
  </si>
  <si>
    <t>门</t>
  </si>
  <si>
    <t>闭</t>
  </si>
  <si>
    <t>问</t>
  </si>
  <si>
    <t>闲</t>
  </si>
  <si>
    <t>间</t>
  </si>
  <si>
    <t>闻</t>
  </si>
  <si>
    <t>阁</t>
  </si>
  <si>
    <t>阔</t>
  </si>
  <si>
    <t>阙</t>
  </si>
  <si>
    <t>阳</t>
  </si>
  <si>
    <t>阴</t>
  </si>
  <si>
    <t>阶</t>
  </si>
  <si>
    <t>际</t>
  </si>
  <si>
    <t>陈</t>
  </si>
  <si>
    <t>陌</t>
  </si>
  <si>
    <t>降</t>
  </si>
  <si>
    <t>陶</t>
  </si>
  <si>
    <t>随</t>
  </si>
  <si>
    <t>隐</t>
  </si>
  <si>
    <t>隔</t>
  </si>
  <si>
    <t>难</t>
  </si>
  <si>
    <t>雁</t>
  </si>
  <si>
    <t>雄</t>
  </si>
  <si>
    <t>雕</t>
  </si>
  <si>
    <t>雨</t>
  </si>
  <si>
    <t>雪</t>
  </si>
  <si>
    <t>霁</t>
  </si>
  <si>
    <t>霄</t>
  </si>
  <si>
    <t>霜</t>
  </si>
  <si>
    <t>霞</t>
  </si>
  <si>
    <t>露</t>
  </si>
  <si>
    <t>静</t>
  </si>
  <si>
    <t>非</t>
  </si>
  <si>
    <t>面</t>
  </si>
  <si>
    <t>音</t>
  </si>
  <si>
    <t>韵</t>
  </si>
  <si>
    <t>须</t>
  </si>
  <si>
    <t>顾</t>
  </si>
  <si>
    <t>频</t>
  </si>
  <si>
    <t>题</t>
  </si>
  <si>
    <t>颜</t>
  </si>
  <si>
    <t>风</t>
  </si>
  <si>
    <t>飘</t>
  </si>
  <si>
    <t>飞</t>
  </si>
  <si>
    <t>食</t>
  </si>
  <si>
    <t>饥</t>
  </si>
  <si>
    <t>饮</t>
  </si>
  <si>
    <t>馀</t>
  </si>
  <si>
    <t>馆</t>
  </si>
  <si>
    <t>首</t>
  </si>
  <si>
    <t>香</t>
  </si>
  <si>
    <t>马</t>
  </si>
  <si>
    <t>驰</t>
  </si>
  <si>
    <t>驻</t>
  </si>
  <si>
    <t>驾</t>
  </si>
  <si>
    <t>高</t>
  </si>
  <si>
    <t>鬓</t>
  </si>
  <si>
    <t>魂</t>
  </si>
  <si>
    <t>鱼</t>
  </si>
  <si>
    <t>鸟</t>
  </si>
  <si>
    <t>鸣</t>
  </si>
  <si>
    <t>鸾</t>
  </si>
  <si>
    <t>鸿</t>
  </si>
  <si>
    <t>鹤</t>
  </si>
  <si>
    <t>黄</t>
  </si>
  <si>
    <t>齐</t>
  </si>
  <si>
    <t>龙</t>
  </si>
  <si>
    <t>位置嵌入</t>
    <phoneticPr fontId="1"/>
  </si>
  <si>
    <t>乱来人不到芳草上阶生-&gt;风景</t>
  </si>
  <si>
    <t>及登无半日欲到已经年-&gt;感怀</t>
  </si>
  <si>
    <t>固是攀云渐何嗟趋府劳-&gt;生活</t>
  </si>
  <si>
    <t>上路各乘轩高明尽鸣玉-&gt;生活</t>
  </si>
  <si>
    <t>官舍梅初紫宫门柳欲黄-&gt;风景</t>
  </si>
  <si>
    <t>那似陈王意空随乐府篇-&gt;感怀</t>
  </si>
  <si>
    <t>暮禽先去马新月待开扉-&gt;风景</t>
  </si>
  <si>
    <t>灵童出海见神女向台回-&gt;风景</t>
  </si>
  <si>
    <t>楚客在千里相思看碧云-&gt;思乡</t>
  </si>
  <si>
    <t>不惜寄远书故人今在无-&gt;思乡</t>
  </si>
  <si>
    <t>小松初数尺未有直生枝-&gt;风景</t>
  </si>
  <si>
    <t>待余有势力移尔献丹庭-&gt;明志</t>
  </si>
  <si>
    <t>音书若有问江上会相逢-&gt;生活</t>
  </si>
  <si>
    <t>不忆西省松不忆南宫菊-&gt;思乡</t>
  </si>
  <si>
    <t>只得两相望不得长相随-&gt;伤感</t>
  </si>
  <si>
    <t>万里江西水孤舟何处归-&gt;思乡</t>
  </si>
  <si>
    <t>勿言小大异随分有风波-&gt;感怀</t>
  </si>
  <si>
    <t>度曲知难和凝情想任真-&gt;明志</t>
  </si>
  <si>
    <t>巴江雪水下楚泽火云生-&gt;风景</t>
  </si>
  <si>
    <t>野果垂桥上高泉落水中-&gt;风景</t>
  </si>
  <si>
    <t>花下送归客路长应过秋-&gt;伤感</t>
  </si>
  <si>
    <t>我心不可问君去定何之-&gt;伤感</t>
  </si>
  <si>
    <t>燕丹事不立虚没秦帝宫-&gt;感怀</t>
  </si>
  <si>
    <t>此地何时有长江自古流-&gt;风景</t>
  </si>
  <si>
    <t>永日无他念孤清吏隐心-&gt;明志</t>
  </si>
  <si>
    <t>节高终不起死恋九华山-&gt;明志</t>
  </si>
  <si>
    <t>为郎日赋诗小谢少年时-&gt;人物</t>
  </si>
  <si>
    <t>广殿轻香发高台远吹吟-&gt;风景</t>
  </si>
  <si>
    <t>寒山响易满秋水影偏深-&gt;风景</t>
  </si>
  <si>
    <t>空愁江海信惊浪隔相寻-&gt;伤感</t>
  </si>
  <si>
    <t>为问东山桂无人何自芳-&gt;感怀</t>
  </si>
  <si>
    <t>旅舍无好梦更堪走风沙-&gt;生活</t>
  </si>
  <si>
    <t>愧见高堂上朝朝独倚门-&gt;思乡</t>
  </si>
  <si>
    <t>晚晴江柳变春暮塞鸿归-&gt;风景</t>
  </si>
  <si>
    <t>游寺期应定寻芳步已轻-&gt;生活</t>
  </si>
  <si>
    <t>驰至相君前再拜复再起-&gt;生活</t>
  </si>
  <si>
    <t>尔来几何岁溪草二八绿-&gt;感怀</t>
  </si>
  <si>
    <t>虽知明目地不及有身归-&gt;伤感</t>
  </si>
  <si>
    <t>真交无所隐深语有余欢-&gt;人物</t>
  </si>
  <si>
    <t>镜中照千里镜浪洞百神-&gt;风景</t>
  </si>
  <si>
    <t>野桥分子细沙岸绕微茫-&gt;风景</t>
  </si>
  <si>
    <t>歌舞须连夜神仙莫放归-&gt;生活</t>
  </si>
  <si>
    <t>赤心许君时此意那可忘-&gt;明志</t>
  </si>
  <si>
    <t>风浪相随白云中独过青-&gt;风景</t>
  </si>
  <si>
    <t>落日五湖游烟波处处愁-&gt;伤感</t>
  </si>
  <si>
    <t>前日远别离昨日生白发-&gt;伤感</t>
  </si>
  <si>
    <t>星使三江上天波万里通-&gt;人物</t>
  </si>
  <si>
    <t>闭门生白发回首忆青春-&gt;伤感</t>
  </si>
  <si>
    <t>连步笑出门衣翻冠或倾-&gt;生活</t>
  </si>
  <si>
    <t>长干足风雨遥夜与谁邻-&gt;生活</t>
  </si>
  <si>
    <t>寄来书少达别后梦多迷-&gt;伤感</t>
  </si>
  <si>
    <t>峡中为客恨江上忆君时-&gt;思乡</t>
  </si>
  <si>
    <t>今宵南极外甘作老人星-&gt;明志</t>
  </si>
  <si>
    <t>西江风未便何日到荆州-&gt;思乡</t>
  </si>
  <si>
    <t>五湖复浩荡岁暮有馀悲-&gt;伤感</t>
  </si>
  <si>
    <t>方知正始作丽掩碧云诗-&gt;明志</t>
  </si>
  <si>
    <t>别来双阙老归去片云闲-&gt;明志</t>
  </si>
  <si>
    <t>幽心感衰病结念依法王-&gt;明志</t>
  </si>
  <si>
    <t>夕燕华池月朝奉玉阶尘-&gt;生活</t>
  </si>
  <si>
    <t>久迷空寂理多为声华故-&gt;明志</t>
  </si>
  <si>
    <t>载酒登平台赠君千里心-&gt;人物</t>
  </si>
  <si>
    <t>春风短亭路芳草异乡心-&gt;思乡</t>
  </si>
  <si>
    <t>蜀国本多士雄文似相如-&gt;人物</t>
  </si>
  <si>
    <t>潮平两岸阔风正一帆悬-&gt;风景</t>
  </si>
  <si>
    <t>万影皆因月千声各为秋-&gt;风景</t>
  </si>
  <si>
    <t>万叶风声利一山秋气寒-&gt;风景</t>
  </si>
  <si>
    <t>秋风游子衣落日行远道-&gt;思乡</t>
  </si>
  <si>
    <t>飞鸟数求食潜鱼亦独惊-&gt;风景</t>
  </si>
  <si>
    <t>不才先上第词客却空还-&gt;感怀</t>
  </si>
  <si>
    <t>大道且泛然沉浮未云异-&gt;明志</t>
  </si>
  <si>
    <t>此地何年别兰芳空自幽-&gt;伤感</t>
  </si>
  <si>
    <t>此地去人远知君终日闲-&gt;生活</t>
  </si>
  <si>
    <t>独言五日归未道千秋去-&gt;生活</t>
  </si>
  <si>
    <t>草色无穷处虫声少尽时-&gt;风景</t>
  </si>
  <si>
    <t>忽闻莺响谷于此命相知-&gt;人物</t>
  </si>
  <si>
    <t>始明浅俗心夜结朝已津-&gt;明志</t>
  </si>
  <si>
    <t>何人识幽抱目送冥冥鸿-&gt;感怀</t>
  </si>
  <si>
    <t>中和方作圣太素忽收神-&gt;感怀</t>
  </si>
  <si>
    <t>孤峰夕阳后翠岭秋天外-&gt;风景</t>
  </si>
  <si>
    <t>无酒销长夜回灯照小余-&gt;生活</t>
  </si>
  <si>
    <t>白首故情在青云往事空-&gt;感怀</t>
  </si>
  <si>
    <t>异乡多远情梦断落江城-&gt;思乡</t>
  </si>
  <si>
    <t>陶潜避俗翁未必能达道-&gt;人物</t>
  </si>
  <si>
    <t>他年终结实不羡树栖鸾-&gt;明志</t>
  </si>
  <si>
    <t>爱尔青青色移根此地来-&gt;生活</t>
  </si>
  <si>
    <t>灭没徒留影无因图汉宫-&gt;感怀</t>
  </si>
  <si>
    <t>行行芳草歇潭岛叶纷纷-&gt;风景</t>
  </si>
  <si>
    <t>若不化女子功名岂无期-&gt;感怀</t>
  </si>
  <si>
    <t>奇树留寒翠神池结夕波-&gt;风景</t>
  </si>
  <si>
    <t>从禽非吾乐不好云梦田-&gt;明志</t>
  </si>
  <si>
    <t>羽化既有言无然悲不成-&gt;感怀</t>
  </si>
  <si>
    <t>自古病当门谁言出幽独-&gt;感怀</t>
  </si>
  <si>
    <t>昔年至吴郡常隐临江楼-&gt;生活</t>
  </si>
  <si>
    <t>金庭路非远徒步将欲举-&gt;生活</t>
  </si>
  <si>
    <t>远客何处归孤舟今日发-&gt;思乡</t>
  </si>
  <si>
    <t>晓见苍龙驾东郊春已迎-&gt;风景</t>
  </si>
  <si>
    <t>闲吟见秋水数只钓鱼船-&gt;生活</t>
  </si>
  <si>
    <t>钟繁秋寺近峰阔晚涛深-&gt;风景</t>
  </si>
  <si>
    <t>天下今无事云中独未宁-&gt;感怀</t>
  </si>
  <si>
    <t>我今赠一言胜饮酒千杯-&gt;人物</t>
  </si>
  <si>
    <t>林木含白露星斗在青天-&gt;风景</t>
  </si>
  <si>
    <t>地下无余恨人间得盛名-&gt;感怀</t>
  </si>
  <si>
    <t>周月成功后明年或劳还-&gt;感怀</t>
  </si>
  <si>
    <t>有如云中雨雨散绝回顾-&gt;感怀</t>
  </si>
  <si>
    <t>辛勤程自远寂寞夜多寒-&gt;伤感</t>
  </si>
  <si>
    <t>怅望三秋后参差万里期-&gt;伤感</t>
  </si>
  <si>
    <t>故里遥千里青春过数春-&gt;思乡</t>
  </si>
  <si>
    <t>将随浮云去日惜故山遥-&gt;思乡</t>
  </si>
  <si>
    <t>安用感时变当期升九天-&gt;明志</t>
  </si>
  <si>
    <t>有恨头还白无情菊自黄-&gt;伤感</t>
  </si>
  <si>
    <t>但得杯中满时光度不难-&gt;生活</t>
  </si>
  <si>
    <t>斋中一就枕不觉白日落-&gt;生活</t>
  </si>
  <si>
    <t>近乡微有雪到海渐无鸿-&gt;思乡</t>
  </si>
  <si>
    <t>朝昏吟步处琴酒与谁同-&gt;生活</t>
  </si>
  <si>
    <t>流目浦烟夕扬帆海月生-&gt;风景</t>
  </si>
  <si>
    <t>身遗世自薄道胜名必贱-&gt;明志</t>
  </si>
  <si>
    <t>恋山人事少怜客道心多-&gt;明志</t>
  </si>
  <si>
    <t>昨日朱颜子今日白发催-&gt;伤感</t>
  </si>
  <si>
    <t>复在郊郭外正堪静者居-&gt;生活</t>
  </si>
  <si>
    <t>小子何时见高秋此日生-&gt;生活</t>
  </si>
  <si>
    <t>花月霁来好云泉堪梦归-&gt;思乡</t>
  </si>
  <si>
    <t>旅吟还有伴沙柳数枝蝉-&gt;生活</t>
  </si>
  <si>
    <t>厌胜还随俗无疑不避人-&gt;生活</t>
  </si>
  <si>
    <t>翻疑此中好君问定如何-&gt;生活</t>
  </si>
  <si>
    <t>更见尚书后能文在子山-&gt;人物</t>
  </si>
  <si>
    <t>已忘乡土恋岂念君亲恩-&gt;伤感</t>
  </si>
  <si>
    <t>愿为出海月不作归山云-&gt;明志</t>
  </si>
  <si>
    <t>轩车谁肯到泉石自相亲-&gt;明志</t>
  </si>
  <si>
    <t>微风深树里斜日小楼前-&gt;风景</t>
  </si>
  <si>
    <t>复是三阶正还逢四海平-&gt;感怀</t>
  </si>
  <si>
    <t>远别那无梦重游自有期-&gt;伤感</t>
  </si>
  <si>
    <t>向风疑欲斗带雨似闻啼-&gt;风景</t>
  </si>
  <si>
    <t>行色回灯晓离声满竹秋-&gt;伤感</t>
  </si>
  <si>
    <t>寒霜白云里法侣自相携-&gt;生活</t>
  </si>
  <si>
    <t>竹深云自宿天近日先明-&gt;风景</t>
  </si>
  <si>
    <t>所适非所见前登江上城-&gt;生活</t>
  </si>
  <si>
    <t>草树含远思襟杯有馀清-&gt;风景</t>
  </si>
  <si>
    <t>花落伤容鬓莺啼惊梦魂-&gt;伤感</t>
  </si>
  <si>
    <t>那随流水去不待镜湖春-&gt;伤感</t>
  </si>
  <si>
    <t>长安三千里日夕西南望-&gt;思乡</t>
  </si>
  <si>
    <t>时无采诗官委弃如泥尘-&gt;感怀</t>
  </si>
  <si>
    <t>低头不用问问得复何为-&gt;生活</t>
  </si>
  <si>
    <t>如何方广寺千古去人稀-&gt;感怀</t>
  </si>
  <si>
    <t>却就红炉坐心如逢故人-&gt;生活</t>
  </si>
  <si>
    <t>水急愁无地山深故有云-&gt;风景</t>
  </si>
  <si>
    <t>有客南浮去平生与我同-&gt;人物</t>
  </si>
  <si>
    <t>眼前今古意江汉一归舟-&gt;感怀</t>
  </si>
  <si>
    <t>云岛孤征雁烟帆一叶舟-&gt;风景</t>
  </si>
  <si>
    <t>移床解衣带坐任清风吹-&gt;生活</t>
  </si>
  <si>
    <t>如何日已久五变庭中草-&gt;感怀</t>
  </si>
  <si>
    <t>衰疾谁人问闲情与酒通-&gt;伤感</t>
  </si>
  <si>
    <t>车徒望不见时见起行尘-&gt;生活</t>
  </si>
  <si>
    <t>名参十二属花入羽毛深-&gt;感怀</t>
  </si>
  <si>
    <t>山明鸟声乐日气生岩壑-&gt;风景</t>
  </si>
  <si>
    <t>野寺荒台晚寒天古木悲-&gt;伤感</t>
  </si>
  <si>
    <t>昨夜玉轮明传闻近太清-&gt;风景</t>
  </si>
  <si>
    <t>顾谓同来客欢游不可忘-&gt;生活</t>
  </si>
  <si>
    <t>方驾与吾友同怀不异寻-&gt;人物</t>
  </si>
  <si>
    <t>黄鹤不复来云深离别处-&gt;伤感</t>
  </si>
  <si>
    <t>微此一日醉何以乐吾身-&gt;生活</t>
  </si>
  <si>
    <t>忆在东溪日花开叶落时-&gt;感怀</t>
  </si>
  <si>
    <t>此意人不知欲为待月处-&gt;感怀</t>
  </si>
  <si>
    <t>久雨始无尘边声四散闻-&gt;风景</t>
  </si>
  <si>
    <t>愁看塞上路讵惜镜中颜-&gt;伤感</t>
  </si>
  <si>
    <t>且寻沧洲路遥指吴云端-&gt;思乡</t>
  </si>
  <si>
    <t>今日花正好昨日花已老-&gt;感怀</t>
  </si>
  <si>
    <t>晓云连幕卷夜火杂星回-&gt;风景</t>
  </si>
  <si>
    <t>衰柳数声蝉魂销似去年-&gt;伤感</t>
  </si>
  <si>
    <t>知君命不偶同病亦同忧-&gt;伤感</t>
  </si>
  <si>
    <t>茅檐闲寂寂无事觉人和-&gt;生活</t>
  </si>
  <si>
    <t>伊洛泛清流密林含朝阳-&gt;风景</t>
  </si>
  <si>
    <t>秋归方觉好旧梦始知真-&gt;感怀</t>
  </si>
  <si>
    <t>住时须并住飞处要交飞-&gt;生活</t>
  </si>
  <si>
    <t>臣如忽至理君岂弃此物-&gt;明志</t>
  </si>
  <si>
    <t>桐叶生微阴桃花更宜湿-&gt;风景</t>
  </si>
  <si>
    <t>诗思应须苦猿声莫厌闻-&gt;明志</t>
  </si>
  <si>
    <t>宁知北山下松柏侵田园-&gt;感怀</t>
  </si>
  <si>
    <t>登高上山上高处更堪愁-&gt;伤感</t>
  </si>
  <si>
    <t>清晓上高台秋风今日来-&gt;风景</t>
  </si>
  <si>
    <t>佳人南陌上翠盖立春风-&gt;人物</t>
  </si>
  <si>
    <t>节移芳未歇兴隔赏仍追-&gt;生活</t>
  </si>
  <si>
    <t>夜静春梦长梦逐仙山客-&gt;生活</t>
  </si>
  <si>
    <t>斜日出门去残花已过春-&gt;伤感</t>
  </si>
  <si>
    <t>西京无暑气夏景似清秋-&gt;风景</t>
  </si>
  <si>
    <t>渐远无相识青梅独向人-&gt;伤感</t>
  </si>
  <si>
    <t>去去桃花源何时见归轩-&gt;思乡</t>
  </si>
  <si>
    <t>昔出喜还家今还独伤意-&gt;伤感</t>
  </si>
  <si>
    <t>只自取勤苦百年终不成-&gt;伤感</t>
  </si>
  <si>
    <t>离居若有赠暂与幽人折-&gt;伤感</t>
  </si>
  <si>
    <t>唯羡诸童子持经在竹阴-&gt;生活</t>
  </si>
  <si>
    <t>空山连野外寒鸟下霜枝-&gt;风景</t>
  </si>
  <si>
    <t>远客舟中兴烦襟暂一空-&gt;生活</t>
  </si>
  <si>
    <t>孤梦家山远独眠秋夜长-&gt;思乡</t>
  </si>
  <si>
    <t>山藏明月浦树绕白云城-&gt;风景</t>
  </si>
  <si>
    <t>暗通山下草流出洞中花-&gt;风景</t>
  </si>
  <si>
    <t>为君结芳实令君勿叹息-&gt;生活</t>
  </si>
  <si>
    <t>镜前鸾对舞琴里凤传歌-&gt;生活</t>
  </si>
  <si>
    <t>九重丽天邑千门临上春-&gt;风景</t>
  </si>
  <si>
    <t>旌旗犹入梦歌舞不开怀-&gt;伤感</t>
  </si>
  <si>
    <t>应怜门下客余力亦为文-&gt;人物</t>
  </si>
  <si>
    <t>新居多是客旧隐半成仙-&gt;生活</t>
  </si>
  <si>
    <t>长波静云月孤岛宿旌旗-&gt;风景</t>
  </si>
  <si>
    <t>气收天地广风凄草木衰-&gt;风景</t>
  </si>
  <si>
    <t>暮晴依远水秋兴属连山-&gt;风景</t>
  </si>
  <si>
    <t>帆影缘巴字钟声出汉州-&gt;风景</t>
  </si>
  <si>
    <t>二三更后雨四十字边秋-&gt;生活</t>
  </si>
  <si>
    <t>夜深露气清江月满江城-&gt;风景</t>
  </si>
  <si>
    <t>烧火掩关坐穷居客访稀-&gt;生活</t>
  </si>
  <si>
    <t>回雁峰前雁春回尽却回-&gt;风景</t>
  </si>
  <si>
    <t>吟诗三十载成此一名难-&gt;明志</t>
  </si>
  <si>
    <t>别路魂先断还家梦几迷-&gt;伤感</t>
  </si>
  <si>
    <t>迥没沙中树孤飞雪外雕-&gt;风景</t>
  </si>
  <si>
    <t>羡君从此去朝夕见乡中-&gt;思乡</t>
  </si>
  <si>
    <t>古井碧沈沈分明见百寻-&gt;风景</t>
  </si>
  <si>
    <t>孤云随浦口几日到山阴-&gt;风景</t>
  </si>
  <si>
    <t>语言未终夕离别又伤春-&gt;伤感</t>
  </si>
  <si>
    <t>如今难更有纵有在仙宫-&gt;感怀</t>
  </si>
  <si>
    <t>再哭经过罢离魂去住销-&gt;伤感</t>
  </si>
  <si>
    <t>上天下天水出地入地舟-&gt;风景</t>
  </si>
  <si>
    <t>岁晚树无叶夜寒霜满枝-&gt;风景</t>
  </si>
  <si>
    <t>水光壁际动山影浪中摇-&gt;风景</t>
  </si>
  <si>
    <t>双栖绿池上朝暮共飞还-&gt;风景</t>
  </si>
  <si>
    <t>行道临孤壁持斋听远钟-&gt;生活</t>
  </si>
  <si>
    <t>白云当岭雨黄叶绕阶风-&gt;风景</t>
  </si>
  <si>
    <t>静照遥山出孤明列宿沉-&gt;风景</t>
  </si>
  <si>
    <t>有琴含正韵知音者如何-&gt;明志</t>
  </si>
  <si>
    <t>容华难久驻知得几多年-&gt;感怀</t>
  </si>
  <si>
    <t>公府西岩下红亭间白云-&gt;风景</t>
  </si>
  <si>
    <t>好就山僧去时过野舍眠-&gt;生活</t>
  </si>
  <si>
    <t>岂惟丘中赏兼得清烦襟-&gt;明志</t>
  </si>
  <si>
    <t>道既学不得仙从何处来-&gt;明志</t>
  </si>
  <si>
    <t>五岳径虽深遍游心已荡-&gt;明志</t>
  </si>
  <si>
    <t>梦破青霄春烟霞无去尘-&gt;风景</t>
  </si>
  <si>
    <t>地与喧闻隔人将物我齐-&gt;明志</t>
  </si>
  <si>
    <t>野流行地日江入度山云-&gt;风景</t>
  </si>
  <si>
    <t>何必老林泉冥心便是禅-&gt;明志</t>
  </si>
  <si>
    <t>独往路难尽穷阴人易伤-&gt;伤感</t>
  </si>
  <si>
    <t>交道有寒暑在人无古今-&gt;感怀</t>
  </si>
  <si>
    <t>回顾秦人语他生会别方-&gt;伤感</t>
  </si>
  <si>
    <t>一杯从别后风月不相闻-&gt;伤感</t>
  </si>
  <si>
    <t>庭临谷中树檐落山上泉-&gt;风景</t>
  </si>
  <si>
    <t>旧闻胡马思今听楚猿悲-&gt;伤感</t>
  </si>
  <si>
    <t>罗幕空掩昼玉颜静移春-&gt;生活</t>
  </si>
  <si>
    <t>停舟暂借问或恐是同乡-&gt;生活</t>
  </si>
  <si>
    <t>向月怜孤影承风送迥音-&gt;伤感</t>
  </si>
  <si>
    <t>入室神如在升堂乐似闻-&gt;生活</t>
  </si>
  <si>
    <t>衣食幸相属胡为不自安-&gt;生活</t>
  </si>
  <si>
    <t>存者皆面啼无衣可迎宾-&gt;伤感</t>
  </si>
  <si>
    <t>流落年将晚悲凉物已秋-&gt;伤感</t>
  </si>
  <si>
    <t>四海少平地百川无定波-&gt;感怀</t>
  </si>
  <si>
    <t>尽欲居岩室如何不住心-&gt;明志</t>
  </si>
  <si>
    <t>坐看青节引要与白云飞-&gt;明志</t>
  </si>
  <si>
    <t>欲知今日后不乐为车公-&gt;生活</t>
  </si>
  <si>
    <t>语言诸夏异衣服一方殊-&gt;生活</t>
  </si>
  <si>
    <t>高秋关静梦良夜入新篇-&gt;生活</t>
  </si>
  <si>
    <t>似道思归乐行人掩泣听-&gt;伤感</t>
  </si>
  <si>
    <t>岂比重恩者闭门方独全-&gt;明志</t>
  </si>
  <si>
    <t>寒销山水地春遍帝王州-&gt;风景</t>
  </si>
  <si>
    <t>可怜皆老大不得自由行-&gt;伤感</t>
  </si>
  <si>
    <t>此举关风化谁云别恨劳-&gt;感怀</t>
  </si>
  <si>
    <t>已迷金谷路频驻玉人车-&gt;生活</t>
  </si>
  <si>
    <t>霜繁野叶飞长老卷行衣-&gt;生活</t>
  </si>
  <si>
    <t>三春车马客一代繁华地-&gt;生活</t>
  </si>
  <si>
    <t>声望去已远门人无不知-&gt;感怀</t>
  </si>
  <si>
    <t>春风复无情吹我梦魂散-&gt;伤感</t>
  </si>
  <si>
    <t>寒岩风雪夜又过岩前溪-&gt;风景</t>
  </si>
  <si>
    <t>菊歇香未歇露繁蝉不饥-&gt;风景</t>
  </si>
  <si>
    <t>客难寒山子君诗无道理-&gt;人物</t>
  </si>
  <si>
    <t>君恩不可再妾命在和亲-&gt;伤感</t>
  </si>
  <si>
    <t>河水日夜流客心多殷忧-&gt;伤感</t>
  </si>
  <si>
    <t>开门新树绿登阁旧山青-&gt;风景</t>
  </si>
  <si>
    <t>烟生海西岸云见吴南山-&gt;风景</t>
  </si>
  <si>
    <t>毛衣前后成一种文章足-&gt;生活</t>
  </si>
  <si>
    <t>客心殊不乐乡泪独无从-&gt;思乡</t>
  </si>
  <si>
    <t>高楼一何绮素月复流明-&gt;风景</t>
  </si>
  <si>
    <t>故园兹日隔新禽池上鸣-&gt;思乡</t>
  </si>
  <si>
    <t>亭亭千万里三五复秋中-&gt;感怀</t>
  </si>
  <si>
    <t>调笑当时人中天谢云雨-&gt;人物</t>
  </si>
  <si>
    <t>此言期众见挂在日东边-&gt;明志</t>
  </si>
  <si>
    <t>贫家何所有新酒三两杯-&gt;生活</t>
  </si>
  <si>
    <t>昔日人何处终年水自流-&gt;感怀</t>
  </si>
  <si>
    <t>窗风从此冷诗思当时清-&gt;生活</t>
  </si>
  <si>
    <t>月向天边下花从日里生-&gt;风景</t>
  </si>
  <si>
    <t>野渡花争发春塘水乱流-&gt;风景</t>
  </si>
  <si>
    <t>衰残强欢宴此事久知非-&gt;伤感</t>
  </si>
  <si>
    <t>今来识离恨掩泪方殷勤-&gt;伤感</t>
  </si>
  <si>
    <t>近作十日欢远为千载期-&gt;生活</t>
  </si>
  <si>
    <t>故人忧见及此别泪相忘-&gt;伤感</t>
  </si>
  <si>
    <t>阶雪凌春积钟烟向夕深-&gt;风景</t>
  </si>
  <si>
    <t>日暮片帆落江村如有情-&gt;风景</t>
  </si>
  <si>
    <t>早晚中条下红尘一顾清-&gt;明志</t>
  </si>
  <si>
    <t>郊野间长薄城阙隐凝烟-&gt;风景</t>
  </si>
  <si>
    <t>花开草复秋云水自悠悠-&gt;风景</t>
  </si>
  <si>
    <t>雪路初晴出人家向晚深-&gt;风景</t>
  </si>
  <si>
    <t>不堪深殿里帘外欲黄昏-&gt;伤感</t>
  </si>
  <si>
    <t>不知香积寺数里入云峰-&gt;风景</t>
  </si>
  <si>
    <t>对此瑶草色怀君琼树枝-&gt;思乡</t>
  </si>
  <si>
    <t>怜君未归日杯酒若为情-&gt;伤感</t>
  </si>
  <si>
    <t>忆昔与吾师山中静论时-&gt;感怀</t>
  </si>
  <si>
    <t>圣朝无弃物老病已成翁-&gt;感怀</t>
  </si>
  <si>
    <t>谁喜老闲身春山起送君-&gt;生活</t>
  </si>
  <si>
    <t>因知古佳丽不独湘夫人-&gt;感怀</t>
  </si>
  <si>
    <t>浅沙平有路流水漫无声-&gt;风景</t>
  </si>
  <si>
    <t>华容佳山水之子厌承明-&gt;人物</t>
  </si>
  <si>
    <t>却笑舟中客今年未得归-&gt;生活</t>
  </si>
  <si>
    <t>方春到帝京有恋有愁并-&gt;思乡</t>
  </si>
  <si>
    <t>岁计因山薄霞栖在谷深-&gt;生活</t>
  </si>
  <si>
    <t>寂寥东郭外白首一先生-&gt;人物</t>
  </si>
  <si>
    <t>谁怜李飞将白首没三边-&gt;感怀</t>
  </si>
  <si>
    <t>既别复游处道深情更殷-&gt;人物</t>
  </si>
  <si>
    <t>仍随御史马山路满光辉-&gt;生活</t>
  </si>
  <si>
    <t>池塘静于寺俗事不到眼-&gt;风景</t>
  </si>
  <si>
    <t>秋水清无底萧然静客心-&gt;风景</t>
  </si>
  <si>
    <t>满庭秋雨过连夜绿苔生-&gt;风景</t>
  </si>
  <si>
    <t>枕有思乡泪门无问疾人-&gt;思乡</t>
  </si>
  <si>
    <t>天涯失乡路江外老华发-&gt;思乡</t>
  </si>
  <si>
    <t>海岳两无边去来都偶然-&gt;感怀</t>
  </si>
  <si>
    <t>半月无双影全花有四时-&gt;风景</t>
  </si>
  <si>
    <t>遥空秋雁灭半岭暮云长-&gt;风景</t>
  </si>
  <si>
    <t>江湖千里别衰老一尊同-&gt;伤感</t>
  </si>
  <si>
    <t>客心君莫问春草是王程-&gt;生活</t>
  </si>
  <si>
    <t>重门深夏昼赋诗延众宾-&gt;生活</t>
  </si>
  <si>
    <t>白发已过半无心离此溪-&gt;明志</t>
  </si>
  <si>
    <t>归去无劳久知音待更论-&gt;生活</t>
  </si>
  <si>
    <t>$</t>
  </si>
  <si>
    <t>窗口</t>
    <phoneticPr fontId="1"/>
  </si>
  <si>
    <t>FFNX</t>
    <phoneticPr fontId="1"/>
  </si>
  <si>
    <t>FFNW</t>
    <phoneticPr fontId="1"/>
  </si>
  <si>
    <t>PROJW</t>
    <phoneticPr fontId="1"/>
  </si>
  <si>
    <t>LMX</t>
    <phoneticPr fontId="1"/>
  </si>
  <si>
    <t>LMX+Bias</t>
    <phoneticPr fontId="1"/>
  </si>
  <si>
    <t>Preds</t>
    <phoneticPr fontId="1"/>
  </si>
  <si>
    <t>↓</t>
    <phoneticPr fontId="1"/>
  </si>
  <si>
    <t>乱来人不到芳草上阶生-&gt;风景</t>
    <phoneticPr fontId="1"/>
  </si>
  <si>
    <t>伤感</t>
  </si>
  <si>
    <t>人物</t>
  </si>
  <si>
    <t>感怀</t>
  </si>
  <si>
    <t>风景</t>
  </si>
  <si>
    <t>明志</t>
  </si>
  <si>
    <t>生活</t>
  </si>
  <si>
    <t>目标</t>
    <phoneticPr fontId="1"/>
  </si>
  <si>
    <t>预测</t>
    <phoneticPr fontId="1"/>
  </si>
  <si>
    <r>
      <rPr>
        <sz val="7"/>
        <color rgb="FFCE9178"/>
        <rFont val="MS Mincho"/>
        <family val="3"/>
        <charset val="128"/>
      </rPr>
      <t>人物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0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微软雅黑"/>
        <family val="2"/>
        <charset val="134"/>
      </rPr>
      <t>伤感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1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MS Mincho"/>
        <family val="3"/>
        <charset val="128"/>
      </rPr>
      <t>思</t>
    </r>
    <r>
      <rPr>
        <sz val="7"/>
        <color rgb="FFCE9178"/>
        <rFont val="微软雅黑"/>
        <family val="2"/>
        <charset val="134"/>
      </rPr>
      <t>乡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2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MS Mincho"/>
        <family val="3"/>
        <charset val="128"/>
      </rPr>
      <t>感</t>
    </r>
    <r>
      <rPr>
        <sz val="7"/>
        <color rgb="FFCE9178"/>
        <rFont val="微软雅黑"/>
        <family val="2"/>
        <charset val="134"/>
      </rPr>
      <t>怀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3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MS Mincho"/>
        <family val="3"/>
        <charset val="128"/>
      </rPr>
      <t>明志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4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MS Mincho"/>
        <family val="3"/>
        <charset val="128"/>
      </rPr>
      <t>生活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5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微软雅黑"/>
        <family val="2"/>
        <charset val="134"/>
      </rPr>
      <t>讽喻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6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Noto Sans JP"/>
        <family val="2"/>
        <charset val="128"/>
      </rPr>
      <t>风景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7</t>
    </r>
    <phoneticPr fontId="1"/>
  </si>
  <si>
    <t>随机测试数据</t>
    <phoneticPr fontId="1"/>
  </si>
  <si>
    <t>×</t>
  </si>
  <si>
    <t>尔来几何岁溪草二八绿</t>
  </si>
  <si>
    <t>羽化既有言无然悲不成</t>
  </si>
  <si>
    <t>唐诗测试数据</t>
    <phoneticPr fontId="1"/>
  </si>
  <si>
    <t>桐叶生微阴桃花更宜湿</t>
  </si>
  <si>
    <t>远</t>
    <phoneticPr fontId="1"/>
  </si>
  <si>
    <t>向</t>
    <phoneticPr fontId="1"/>
  </si>
  <si>
    <t>人</t>
    <phoneticPr fontId="1"/>
  </si>
  <si>
    <t>此言期众见挂在日东边</t>
  </si>
  <si>
    <t>渐</t>
    <phoneticPr fontId="1"/>
  </si>
  <si>
    <t>青</t>
    <phoneticPr fontId="1"/>
  </si>
  <si>
    <t>相</t>
    <phoneticPr fontId="1"/>
  </si>
  <si>
    <t>独</t>
    <phoneticPr fontId="1"/>
  </si>
  <si>
    <t>无</t>
    <phoneticPr fontId="1"/>
  </si>
  <si>
    <t>近作十日欢远为千载期</t>
  </si>
  <si>
    <t>仍随御史马山路满光辉</t>
  </si>
  <si>
    <t>回顾秦人语他生会别方</t>
  </si>
  <si>
    <t>竹深云自宿天近日先明</t>
  </si>
  <si>
    <t>向月怜孤影承风送迥音</t>
  </si>
  <si>
    <t>岁计因山薄霞栖在谷深</t>
  </si>
  <si>
    <t>厌胜还随俗无疑不避人</t>
  </si>
  <si>
    <t>钟繁秋寺近峰阔晚涛深</t>
  </si>
  <si>
    <t>浅沙平有路流水漫无声</t>
  </si>
  <si>
    <t>辛勤程自远寂寞夜多寒</t>
  </si>
  <si>
    <t>岁晚树无叶夜寒霜满枝</t>
  </si>
  <si>
    <t>赤心许君时此意那可忘</t>
  </si>
  <si>
    <t>更见尚书后能文在子山</t>
  </si>
  <si>
    <t>识</t>
    <phoneticPr fontId="1"/>
  </si>
  <si>
    <t>梅</t>
    <phoneticPr fontId="1"/>
  </si>
  <si>
    <t>渐远无相识青梅独向人</t>
  </si>
  <si>
    <t>蜀国本多士雄文似相如</t>
  </si>
  <si>
    <t>复在郊郭外正堪静者居</t>
  </si>
  <si>
    <t>如今难更有纵有在仙宫</t>
  </si>
  <si>
    <t>忆昔与吾师山中静论时</t>
  </si>
  <si>
    <t>为君结芳实令君勿叹息</t>
  </si>
  <si>
    <t>不堪深殿里帘外欲黄昏</t>
  </si>
  <si>
    <t>黄鹤不复来云深离别处</t>
  </si>
  <si>
    <t>岂比重恩者闭门方独全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</si>
</sst>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微软雅黑"/>
      <family val="2"/>
      <charset val="134"/>
    </font>
    <font>
      <sz val="11"/>
      <color theme="1"/>
      <name val="游ゴシック"/>
      <family val="2"/>
      <scheme val="minor"/>
    </font>
    <font>
      <sz val="11"/>
      <color theme="1"/>
      <name val="Noto Sans JP"/>
      <family val="2"/>
      <charset val="134"/>
    </font>
    <font>
      <sz val="10"/>
      <color theme="1"/>
      <name val="微软雅黑"/>
      <family val="2"/>
      <charset val="134"/>
    </font>
    <font>
      <sz val="6"/>
      <color theme="1"/>
      <name val="微软雅黑"/>
      <family val="2"/>
      <charset val="134"/>
    </font>
    <font>
      <sz val="11"/>
      <color theme="1"/>
      <name val="Yu Gothic"/>
      <family val="2"/>
      <charset val="128"/>
    </font>
    <font>
      <sz val="11"/>
      <color theme="1"/>
      <name val="微软雅黑"/>
      <family val="2"/>
      <charset val="128"/>
    </font>
    <font>
      <sz val="14"/>
      <color theme="1"/>
      <name val="微软雅黑"/>
      <family val="2"/>
      <charset val="134"/>
    </font>
    <font>
      <sz val="7"/>
      <color rgb="FFCCCCCC"/>
      <name val="Consolas"/>
      <family val="3"/>
    </font>
    <font>
      <sz val="7"/>
      <color rgb="FFCE9178"/>
      <name val="Consolas"/>
      <family val="3"/>
    </font>
    <font>
      <sz val="7"/>
      <color rgb="FFB5CEA8"/>
      <name val="Consolas"/>
      <family val="3"/>
    </font>
    <font>
      <sz val="12"/>
      <color theme="1"/>
      <name val="微软雅黑"/>
      <family val="2"/>
      <charset val="134"/>
    </font>
    <font>
      <sz val="7"/>
      <color rgb="FFCE9178"/>
      <name val="MS Mincho"/>
      <family val="3"/>
      <charset val="128"/>
    </font>
    <font>
      <sz val="7"/>
      <color rgb="FFCE9178"/>
      <name val="微软雅黑"/>
      <family val="2"/>
      <charset val="134"/>
    </font>
    <font>
      <sz val="7"/>
      <color rgb="FFCE9178"/>
      <name val="Noto Sans JP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2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vertical="top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11" fillId="0" borderId="0" xfId="0" quotePrefix="1" applyFont="1">
      <alignment vertical="center"/>
    </xf>
    <xf numFmtId="0" fontId="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top" wrapText="1"/>
    </xf>
    <xf numFmtId="0" fontId="13" fillId="0" borderId="0" xfId="0" applyFont="1" applyAlignment="1">
      <alignment horizontal="center" vertical="center" wrapText="1"/>
    </xf>
  </cellXfs>
  <cellStyles count="2">
    <cellStyle name="常规" xfId="0" builtinId="0"/>
    <cellStyle name="常规 2" xfId="1" xr:uid="{7ED3F187-5A85-4570-876A-A3644E22BE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microsoft.com/office/2023/09/relationships/Python" Target="pyth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72573</xdr:colOff>
      <xdr:row>16</xdr:row>
      <xdr:rowOff>4</xdr:rowOff>
    </xdr:from>
    <xdr:to>
      <xdr:col>57</xdr:col>
      <xdr:colOff>244930</xdr:colOff>
      <xdr:row>46</xdr:row>
      <xdr:rowOff>163286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AFCA8E2E-AF99-31AF-DCD6-A293360D4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0430" y="3692075"/>
          <a:ext cx="4526643" cy="6839854"/>
        </a:xfrm>
        <a:prstGeom prst="rect">
          <a:avLst/>
        </a:prstGeom>
      </xdr:spPr>
    </xdr:pic>
    <xdr:clientData/>
  </xdr:twoCellAnchor>
  <xdr:twoCellAnchor>
    <xdr:from>
      <xdr:col>49</xdr:col>
      <xdr:colOff>177689</xdr:colOff>
      <xdr:row>16</xdr:row>
      <xdr:rowOff>235858</xdr:rowOff>
    </xdr:from>
    <xdr:to>
      <xdr:col>57</xdr:col>
      <xdr:colOff>63500</xdr:colOff>
      <xdr:row>44</xdr:row>
      <xdr:rowOff>71016</xdr:rowOff>
    </xdr:to>
    <xdr:sp macro="" textlink="">
      <xdr:nvSpPr>
        <xdr:cNvPr id="14" name="矩形: 圆角 13">
          <a:extLst>
            <a:ext uri="{FF2B5EF4-FFF2-40B4-BE49-F238E27FC236}">
              <a16:creationId xmlns:a16="http://schemas.microsoft.com/office/drawing/2014/main" id="{4CD53B46-08A9-1DBD-1190-B35B06841CE8}"/>
            </a:ext>
          </a:extLst>
        </xdr:cNvPr>
        <xdr:cNvSpPr/>
      </xdr:nvSpPr>
      <xdr:spPr>
        <a:xfrm>
          <a:off x="13512689" y="3927929"/>
          <a:ext cx="2062954" cy="6058158"/>
        </a:xfrm>
        <a:prstGeom prst="roundRect">
          <a:avLst>
            <a:gd name="adj" fmla="val 6261"/>
          </a:avLst>
        </a:prstGeom>
        <a:pattFill prst="pct50">
          <a:fgClr>
            <a:srgbClr val="0070C0"/>
          </a:fgClr>
          <a:bgClr>
            <a:schemeClr val="bg1"/>
          </a:bgClr>
        </a:patt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36284</xdr:colOff>
      <xdr:row>3</xdr:row>
      <xdr:rowOff>99786</xdr:rowOff>
    </xdr:from>
    <xdr:to>
      <xdr:col>59</xdr:col>
      <xdr:colOff>9070</xdr:colOff>
      <xdr:row>16</xdr:row>
      <xdr:rowOff>126999</xdr:rowOff>
    </xdr:to>
    <xdr:sp macro="" textlink="">
      <xdr:nvSpPr>
        <xdr:cNvPr id="18" name="左大括号 17">
          <a:extLst>
            <a:ext uri="{FF2B5EF4-FFF2-40B4-BE49-F238E27FC236}">
              <a16:creationId xmlns:a16="http://schemas.microsoft.com/office/drawing/2014/main" id="{2AE83057-2F42-042E-4A34-236991D702AA}"/>
            </a:ext>
          </a:extLst>
        </xdr:cNvPr>
        <xdr:cNvSpPr/>
      </xdr:nvSpPr>
      <xdr:spPr>
        <a:xfrm>
          <a:off x="15820570" y="798286"/>
          <a:ext cx="244929" cy="3020784"/>
        </a:xfrm>
        <a:prstGeom prst="leftBrace">
          <a:avLst>
            <a:gd name="adj1" fmla="val 8333"/>
            <a:gd name="adj2" fmla="val 50296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32819</xdr:colOff>
      <xdr:row>29</xdr:row>
      <xdr:rowOff>145944</xdr:rowOff>
    </xdr:from>
    <xdr:to>
      <xdr:col>58</xdr:col>
      <xdr:colOff>254000</xdr:colOff>
      <xdr:row>42</xdr:row>
      <xdr:rowOff>127000</xdr:rowOff>
    </xdr:to>
    <xdr:sp macro="" textlink="">
      <xdr:nvSpPr>
        <xdr:cNvPr id="20" name="左大括号 19">
          <a:extLst>
            <a:ext uri="{FF2B5EF4-FFF2-40B4-BE49-F238E27FC236}">
              <a16:creationId xmlns:a16="http://schemas.microsoft.com/office/drawing/2014/main" id="{1D71F84E-ADC3-4678-9DA5-84CAA9FAA1EE}"/>
            </a:ext>
          </a:extLst>
        </xdr:cNvPr>
        <xdr:cNvSpPr/>
      </xdr:nvSpPr>
      <xdr:spPr>
        <a:xfrm>
          <a:off x="15817105" y="6659230"/>
          <a:ext cx="221181" cy="2929270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72572</xdr:colOff>
      <xdr:row>19</xdr:row>
      <xdr:rowOff>67770</xdr:rowOff>
    </xdr:from>
    <xdr:to>
      <xdr:col>100</xdr:col>
      <xdr:colOff>78536</xdr:colOff>
      <xdr:row>45</xdr:row>
      <xdr:rowOff>154215</xdr:rowOff>
    </xdr:to>
    <xdr:sp macro="" textlink="">
      <xdr:nvSpPr>
        <xdr:cNvPr id="21" name="右大括号 20">
          <a:extLst>
            <a:ext uri="{FF2B5EF4-FFF2-40B4-BE49-F238E27FC236}">
              <a16:creationId xmlns:a16="http://schemas.microsoft.com/office/drawing/2014/main" id="{B2D6393F-72C1-449F-9C88-D92238A19B45}"/>
            </a:ext>
          </a:extLst>
        </xdr:cNvPr>
        <xdr:cNvSpPr/>
      </xdr:nvSpPr>
      <xdr:spPr>
        <a:xfrm>
          <a:off x="30280429" y="4422056"/>
          <a:ext cx="278107" cy="5874016"/>
        </a:xfrm>
        <a:prstGeom prst="rightBrace">
          <a:avLst>
            <a:gd name="adj1" fmla="val 8333"/>
            <a:gd name="adj2" fmla="val 47186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39912</xdr:colOff>
      <xdr:row>14</xdr:row>
      <xdr:rowOff>112806</xdr:rowOff>
    </xdr:from>
    <xdr:to>
      <xdr:col>26</xdr:col>
      <xdr:colOff>191198</xdr:colOff>
      <xdr:row>16</xdr:row>
      <xdr:rowOff>126949</xdr:rowOff>
    </xdr:to>
    <xdr:sp macro="[0]!Sheet1.importModelParams" textlink="">
      <xdr:nvSpPr>
        <xdr:cNvPr id="25" name="矩形: 圆角 24">
          <a:extLst>
            <a:ext uri="{FF2B5EF4-FFF2-40B4-BE49-F238E27FC236}">
              <a16:creationId xmlns:a16="http://schemas.microsoft.com/office/drawing/2014/main" id="{AA1BCE77-5AC7-BBCA-EEFC-D01DE67ECDB0}"/>
            </a:ext>
          </a:extLst>
        </xdr:cNvPr>
        <xdr:cNvSpPr/>
      </xdr:nvSpPr>
      <xdr:spPr>
        <a:xfrm>
          <a:off x="5754912" y="3315020"/>
          <a:ext cx="1512000" cy="504000"/>
        </a:xfrm>
        <a:prstGeom prst="roundRect">
          <a:avLst>
            <a:gd name="adj" fmla="val 44253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导入模型参数</a:t>
          </a:r>
          <a:endParaRPr kumimoji="1" lang="ja-JP" altLang="en-US" sz="1100"/>
        </a:p>
      </xdr:txBody>
    </xdr:sp>
    <xdr:clientData/>
  </xdr:twoCellAnchor>
  <xdr:twoCellAnchor>
    <xdr:from>
      <xdr:col>34</xdr:col>
      <xdr:colOff>2241</xdr:colOff>
      <xdr:row>14</xdr:row>
      <xdr:rowOff>112806</xdr:rowOff>
    </xdr:from>
    <xdr:to>
      <xdr:col>39</xdr:col>
      <xdr:colOff>153527</xdr:colOff>
      <xdr:row>16</xdr:row>
      <xdr:rowOff>126949</xdr:rowOff>
    </xdr:to>
    <xdr:sp macro="[0]!Sheet1.bertTest" textlink="">
      <xdr:nvSpPr>
        <xdr:cNvPr id="26" name="矩形: 圆角 25">
          <a:extLst>
            <a:ext uri="{FF2B5EF4-FFF2-40B4-BE49-F238E27FC236}">
              <a16:creationId xmlns:a16="http://schemas.microsoft.com/office/drawing/2014/main" id="{DB561709-8E44-43D9-9BF1-45E408DD2651}"/>
            </a:ext>
          </a:extLst>
        </xdr:cNvPr>
        <xdr:cNvSpPr/>
      </xdr:nvSpPr>
      <xdr:spPr>
        <a:xfrm>
          <a:off x="9255098" y="3315020"/>
          <a:ext cx="1512000" cy="504000"/>
        </a:xfrm>
        <a:prstGeom prst="roundRect">
          <a:avLst>
            <a:gd name="adj" fmla="val 44253"/>
          </a:avLst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测试</a:t>
          </a:r>
          <a:endParaRPr kumimoji="1" lang="ja-JP" altLang="en-US" sz="1100"/>
        </a:p>
      </xdr:txBody>
    </xdr:sp>
    <xdr:clientData/>
  </xdr:twoCellAnchor>
  <xdr:twoCellAnchor>
    <xdr:from>
      <xdr:col>27</xdr:col>
      <xdr:colOff>157148</xdr:colOff>
      <xdr:row>14</xdr:row>
      <xdr:rowOff>112806</xdr:rowOff>
    </xdr:from>
    <xdr:to>
      <xdr:col>33</xdr:col>
      <xdr:colOff>36291</xdr:colOff>
      <xdr:row>16</xdr:row>
      <xdr:rowOff>126949</xdr:rowOff>
    </xdr:to>
    <xdr:sp macro="[0]!Sheet1.init" textlink="">
      <xdr:nvSpPr>
        <xdr:cNvPr id="35" name="矩形: 圆角 34">
          <a:extLst>
            <a:ext uri="{FF2B5EF4-FFF2-40B4-BE49-F238E27FC236}">
              <a16:creationId xmlns:a16="http://schemas.microsoft.com/office/drawing/2014/main" id="{0789357B-F8AC-4F8C-A24F-14E28E59AA84}"/>
            </a:ext>
          </a:extLst>
        </xdr:cNvPr>
        <xdr:cNvSpPr/>
      </xdr:nvSpPr>
      <xdr:spPr>
        <a:xfrm>
          <a:off x="7505005" y="3315020"/>
          <a:ext cx="1512000" cy="504000"/>
        </a:xfrm>
        <a:prstGeom prst="roundRect">
          <a:avLst>
            <a:gd name="adj" fmla="val 44253"/>
          </a:avLst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初始化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F4E7B-D065-495E-813D-FCDB042A6E9B}">
  <sheetPr codeName="Sheet1"/>
  <dimension ref="A1:EZ1002"/>
  <sheetViews>
    <sheetView tabSelected="1" zoomScale="70" zoomScaleNormal="70" workbookViewId="0">
      <selection activeCell="DH46" sqref="DH46"/>
    </sheetView>
  </sheetViews>
  <sheetFormatPr defaultColWidth="3.58203125" defaultRowHeight="16.5"/>
  <cols>
    <col min="1" max="1" width="3.58203125" style="2" customWidth="1"/>
    <col min="2" max="2" width="3.58203125" style="7"/>
    <col min="3" max="7" width="3.58203125" style="3"/>
    <col min="8" max="9" width="3.58203125" style="2"/>
    <col min="10" max="20" width="3.58203125" style="2" customWidth="1"/>
    <col min="21" max="21" width="3.58203125" style="2"/>
    <col min="22" max="22" width="3.58203125" style="2" customWidth="1"/>
    <col min="23" max="23" width="3.58203125" style="2"/>
    <col min="24" max="24" width="3.58203125" style="2" customWidth="1"/>
    <col min="25" max="25" width="3.58203125" style="2"/>
    <col min="26" max="35" width="3.58203125" style="2" customWidth="1"/>
    <col min="36" max="36" width="3.58203125" style="2"/>
    <col min="37" max="46" width="3.58203125" style="2" customWidth="1"/>
    <col min="47" max="47" width="3.58203125" style="2"/>
    <col min="48" max="58" width="3.58203125" style="2" customWidth="1"/>
    <col min="59" max="59" width="3.58203125" style="2"/>
    <col min="60" max="86" width="3.58203125" style="2" customWidth="1"/>
    <col min="87" max="87" width="3.58203125" style="2"/>
    <col min="88" max="89" width="3.58203125" style="2" customWidth="1"/>
    <col min="90" max="131" width="3.58203125" style="2"/>
    <col min="132" max="132" width="3.58203125" style="2" customWidth="1"/>
    <col min="133" max="153" width="3.58203125" style="2"/>
    <col min="154" max="154" width="3.58203125" style="2" customWidth="1"/>
    <col min="155" max="16384" width="3.58203125" style="2"/>
  </cols>
  <sheetData>
    <row r="1" spans="1:156" ht="18" customHeight="1">
      <c r="A1" s="24" t="s">
        <v>1217</v>
      </c>
      <c r="B1" s="24"/>
      <c r="C1" s="24"/>
      <c r="D1" s="24"/>
      <c r="E1" s="24"/>
      <c r="F1" s="24"/>
      <c r="G1" s="24"/>
      <c r="H1" s="24"/>
      <c r="I1" s="13" t="s">
        <v>0</v>
      </c>
      <c r="J1" s="13"/>
      <c r="K1" s="24" t="s">
        <v>13</v>
      </c>
      <c r="L1" s="24"/>
      <c r="M1" s="24"/>
      <c r="N1" s="24"/>
      <c r="O1" s="24"/>
      <c r="P1" s="24"/>
      <c r="Q1" s="24"/>
      <c r="R1" s="24"/>
      <c r="S1" s="24"/>
      <c r="T1" s="24"/>
      <c r="V1" s="6" t="s">
        <v>1195</v>
      </c>
      <c r="X1" s="6" t="s">
        <v>0</v>
      </c>
      <c r="Z1" s="2" t="s">
        <v>1</v>
      </c>
      <c r="AK1" s="6" t="s">
        <v>869</v>
      </c>
      <c r="AV1" s="6" t="s">
        <v>14</v>
      </c>
      <c r="BH1" s="2" t="s">
        <v>4</v>
      </c>
      <c r="BS1" s="2" t="s">
        <v>7</v>
      </c>
      <c r="BY1" s="6" t="s">
        <v>10</v>
      </c>
      <c r="CE1" s="6"/>
      <c r="CK1" s="6" t="s">
        <v>11</v>
      </c>
      <c r="CX1" s="2" t="s">
        <v>12</v>
      </c>
      <c r="DJ1" s="6" t="s">
        <v>1198</v>
      </c>
      <c r="DU1" s="11" t="s">
        <v>19</v>
      </c>
      <c r="EF1" s="10" t="s">
        <v>20</v>
      </c>
    </row>
    <row r="2" spans="1:156" ht="18.5">
      <c r="A2" s="2">
        <f>ROW()-1</f>
        <v>1</v>
      </c>
      <c r="B2" s="9" t="s">
        <v>1203</v>
      </c>
      <c r="C2" s="9"/>
      <c r="D2" s="9"/>
      <c r="E2" s="9"/>
      <c r="F2" s="9"/>
      <c r="G2" s="9"/>
      <c r="I2" s="14" t="s">
        <v>1194</v>
      </c>
      <c r="J2" s="15">
        <v>0</v>
      </c>
      <c r="K2" s="4">
        <v>-0.66673099999999996</v>
      </c>
      <c r="L2" s="4">
        <v>-0.68116600000000005</v>
      </c>
      <c r="M2" s="4">
        <v>0.86773500000000003</v>
      </c>
      <c r="N2" s="4">
        <v>-1.59409</v>
      </c>
      <c r="O2" s="4">
        <v>0.35751500000000003</v>
      </c>
      <c r="P2" s="4">
        <v>0.98915600000000004</v>
      </c>
      <c r="Q2" s="4">
        <v>-0.47419600000000001</v>
      </c>
      <c r="R2" s="4">
        <v>-0.12282700000000001</v>
      </c>
      <c r="S2" s="4">
        <v>-0.84258299999999997</v>
      </c>
      <c r="T2" s="4">
        <v>1.4830239999999999</v>
      </c>
      <c r="V2" s="1" t="s">
        <v>1223</v>
      </c>
      <c r="X2" s="8">
        <f t="shared" ref="X2:X12" si="0">VLOOKUP(V2,I:J,2,FALSE)</f>
        <v>517</v>
      </c>
      <c r="Z2" s="4">
        <f t="shared" ref="Z2:Z12" si="1">VLOOKUP($V2,$I:$T,3,FALSE)</f>
        <v>-0.39413700000000002</v>
      </c>
      <c r="AA2" s="4">
        <f t="shared" ref="AA2:AA12" si="2">VLOOKUP($V2,$I:$T,4,FALSE)</f>
        <v>-0.54107700000000003</v>
      </c>
      <c r="AB2" s="4">
        <f t="shared" ref="AB2:AB12" si="3">VLOOKUP($V2,$I:$T,5,FALSE)</f>
        <v>-2.2765409999999999</v>
      </c>
      <c r="AC2" s="4">
        <f t="shared" ref="AC2:AC12" si="4">VLOOKUP($V2,$I:$T,6,FALSE)</f>
        <v>-0.102201</v>
      </c>
      <c r="AD2" s="4">
        <f t="shared" ref="AD2:AD12" si="5">VLOOKUP($V2,$I:$T,7,FALSE)</f>
        <v>-0.19256100000000001</v>
      </c>
      <c r="AE2" s="4">
        <f t="shared" ref="AE2:AE12" si="6">VLOOKUP($V2,$I:$T,8,FALSE)</f>
        <v>0.80618400000000001</v>
      </c>
      <c r="AF2" s="4">
        <f t="shared" ref="AF2:AF12" si="7">VLOOKUP($V2,$I:$T,9,FALSE)</f>
        <v>0.572021</v>
      </c>
      <c r="AG2" s="4">
        <f t="shared" ref="AG2:AG12" si="8">VLOOKUP($V2,$I:$T,10,FALSE)</f>
        <v>-0.25462000000000001</v>
      </c>
      <c r="AH2" s="4">
        <f t="shared" ref="AH2:AH12" si="9">VLOOKUP($V2,$I:$T,11,FALSE)</f>
        <v>-0.51793699999999998</v>
      </c>
      <c r="AI2" s="4">
        <f t="shared" ref="AI2:AI12" si="10">VLOOKUP($V2,$I:$T,12,FALSE)</f>
        <v>-0.56067599999999995</v>
      </c>
      <c r="AK2" s="4">
        <v>-0.96988600000000003</v>
      </c>
      <c r="AL2" s="4">
        <v>-1.669637</v>
      </c>
      <c r="AM2" s="4">
        <v>-1.0641659999999999</v>
      </c>
      <c r="AN2" s="4">
        <v>1.7446360000000001</v>
      </c>
      <c r="AO2" s="4">
        <v>0.37697799999999998</v>
      </c>
      <c r="AP2" s="4">
        <v>-0.567021</v>
      </c>
      <c r="AQ2" s="4">
        <v>0.33318599999999998</v>
      </c>
      <c r="AR2" s="4">
        <v>-1.2481580000000001</v>
      </c>
      <c r="AS2" s="4">
        <v>1.1794359999999999</v>
      </c>
      <c r="AT2" s="4">
        <v>-1.064125</v>
      </c>
      <c r="AV2" s="4">
        <f>Z2+AK2</f>
        <v>-1.364023</v>
      </c>
      <c r="AW2" s="4">
        <f t="shared" ref="AW2:BE2" si="11">AA2+AL2</f>
        <v>-2.2107140000000003</v>
      </c>
      <c r="AX2" s="4">
        <f t="shared" si="11"/>
        <v>-3.3407070000000001</v>
      </c>
      <c r="AY2" s="4">
        <f t="shared" si="11"/>
        <v>1.6424350000000001</v>
      </c>
      <c r="AZ2" s="4">
        <f t="shared" si="11"/>
        <v>0.18441699999999997</v>
      </c>
      <c r="BA2" s="4">
        <f t="shared" si="11"/>
        <v>0.23916300000000001</v>
      </c>
      <c r="BB2" s="4">
        <f t="shared" si="11"/>
        <v>0.90520699999999998</v>
      </c>
      <c r="BC2" s="4">
        <f t="shared" si="11"/>
        <v>-1.5027780000000002</v>
      </c>
      <c r="BD2" s="4">
        <f t="shared" si="11"/>
        <v>0.66149899999999995</v>
      </c>
      <c r="BE2" s="4">
        <f t="shared" si="11"/>
        <v>-1.6248009999999999</v>
      </c>
      <c r="BH2" s="5">
        <v>-0.13963200000000001</v>
      </c>
      <c r="BI2" s="5">
        <v>3.8834E-2</v>
      </c>
      <c r="BJ2" s="5">
        <v>2.0279999999999999E-3</v>
      </c>
      <c r="BK2" s="5">
        <v>-0.35150199999999998</v>
      </c>
      <c r="BL2" s="5">
        <v>0.216143</v>
      </c>
      <c r="BM2" s="5">
        <v>0.47093400000000002</v>
      </c>
      <c r="BN2" s="5">
        <v>-0.15002099999999999</v>
      </c>
      <c r="BO2" s="5">
        <v>5.5203000000000002E-2</v>
      </c>
      <c r="BP2" s="5">
        <v>-0.42283399999999999</v>
      </c>
      <c r="BQ2" s="5">
        <v>0.46721099999999999</v>
      </c>
      <c r="BR2" s="5"/>
      <c r="BS2" s="4" cm="1">
        <f t="array" ref="BS2:BW12">MMULT(AV2:BE12,TRANSPOSE(BH2:BQ6))</f>
        <v>-1.5845803986910001</v>
      </c>
      <c r="BT2" s="4">
        <v>-2.5637061750329999</v>
      </c>
      <c r="BU2" s="4">
        <v>2.0578497213309999</v>
      </c>
      <c r="BV2" s="4">
        <v>3.8858439869390002</v>
      </c>
      <c r="BW2" s="4">
        <v>0.50856700315699976</v>
      </c>
      <c r="BX2" s="4"/>
      <c r="BY2" s="4" cm="1">
        <f t="array" ref="BY2:CI12">MMULT(_xlfn.ANCHORARRAY(BS2),TRANSPOSE(_xlfn.ANCHORARRAY(BS15)))/SQRT(10)</f>
        <v>-2.3866808738997154</v>
      </c>
      <c r="BZ2" s="4">
        <v>-2.3524231256551613</v>
      </c>
      <c r="CA2" s="4">
        <v>-2.3856611739216516</v>
      </c>
      <c r="CB2" s="4">
        <v>-1.3305927408251463</v>
      </c>
      <c r="CC2" s="4">
        <v>-1.4543919068897924</v>
      </c>
      <c r="CD2" s="4">
        <v>4.6961335733465521</v>
      </c>
      <c r="CE2" s="4">
        <v>2.6632796861479369</v>
      </c>
      <c r="CF2" s="4">
        <v>1.3781612121171978</v>
      </c>
      <c r="CG2" s="4">
        <v>0.87244565907734883</v>
      </c>
      <c r="CH2" s="4">
        <v>2.4671759093440722</v>
      </c>
      <c r="CI2" s="4">
        <v>5.4479693072863062</v>
      </c>
      <c r="CK2" s="4" cm="1">
        <f t="array" ref="CK2">EXP(BY2)/SUM(EXP($BY$2:$CI$2))</f>
        <v>2.451068413743075E-4</v>
      </c>
      <c r="CL2" s="4" cm="1">
        <f t="array" ref="CL2">EXP(BZ2)/SUM(EXP($BY$2:$CI$2))</f>
        <v>2.5364913428394399E-4</v>
      </c>
      <c r="CM2" s="4" cm="1">
        <f t="array" ref="CM2">EXP(CA2)/SUM(EXP($BY$2:$CI$2))</f>
        <v>2.4535690428798625E-4</v>
      </c>
      <c r="CN2" s="4" cm="1">
        <f t="array" ref="CN2">EXP(CB2)/SUM(EXP($BY$2:$CI$2))</f>
        <v>7.0470715659603708E-4</v>
      </c>
      <c r="CO2" s="4" cm="1">
        <f t="array" ref="CO2">EXP(CC2)/SUM(EXP($BY$2:$CI$2))</f>
        <v>6.226491323821356E-4</v>
      </c>
      <c r="CP2" s="4" cm="1">
        <f t="array" ref="CP2">EXP(CD2)/SUM(EXP($BY$2:$CI$2))</f>
        <v>0.29199987406750544</v>
      </c>
      <c r="CQ2" s="4" cm="1">
        <f t="array" ref="CQ2">EXP(CE2)/SUM(EXP($BY$2:$CI$2))</f>
        <v>3.8240665213939297E-2</v>
      </c>
      <c r="CR2" s="4" cm="1">
        <f t="array" ref="CR2">EXP(CF2)/SUM(EXP($BY$2:$CI$2))</f>
        <v>1.0578049051562528E-2</v>
      </c>
      <c r="CS2" s="4" cm="1">
        <f t="array" ref="CS2">EXP(CG2)/SUM(EXP($BY$2:$CI$2))</f>
        <v>6.3793451863648565E-3</v>
      </c>
      <c r="CT2" s="4" cm="1">
        <f t="array" ref="CT2">EXP(CH2)/SUM(EXP($BY$2:$CI$2))</f>
        <v>3.1431032686720171E-2</v>
      </c>
      <c r="CU2" s="4" cm="1">
        <f t="array" ref="CU2">EXP(CI2)/SUM(EXP($BY$2:$CI$2))</f>
        <v>0.61929956462498315</v>
      </c>
      <c r="CX2" s="4">
        <f>CQ15</f>
        <v>-0.55808582998430178</v>
      </c>
      <c r="CY2" s="4">
        <f>CR15</f>
        <v>-0.97469016987098422</v>
      </c>
      <c r="CZ2" s="4">
        <f>CS15</f>
        <v>-1.0092635656533167</v>
      </c>
      <c r="DA2" s="4">
        <f>CT15</f>
        <v>-0.56712847825759505</v>
      </c>
      <c r="DB2" s="4">
        <f>CU15</f>
        <v>-0.4018961771371925</v>
      </c>
      <c r="DC2" s="4">
        <f>CQ41</f>
        <v>-1.1393227877236272</v>
      </c>
      <c r="DD2" s="4">
        <f t="shared" ref="DD2:DG2" si="12">CR41</f>
        <v>0.29046382352294775</v>
      </c>
      <c r="DE2" s="4">
        <f t="shared" si="12"/>
        <v>-1.1618875855495976</v>
      </c>
      <c r="DF2" s="4">
        <f t="shared" si="12"/>
        <v>-2.2048157803864377</v>
      </c>
      <c r="DG2" s="4">
        <f t="shared" si="12"/>
        <v>1.072223055291516</v>
      </c>
      <c r="DH2" s="4"/>
      <c r="DI2" s="4"/>
      <c r="DJ2" s="5">
        <v>0.69695399999999996</v>
      </c>
      <c r="DK2" s="5">
        <v>0.52501500000000001</v>
      </c>
      <c r="DL2" s="5">
        <v>-0.64637999999999995</v>
      </c>
      <c r="DM2" s="5">
        <v>0.45218799999999998</v>
      </c>
      <c r="DN2" s="5">
        <v>0.321183</v>
      </c>
      <c r="DO2" s="5">
        <v>0.15989800000000001</v>
      </c>
      <c r="DP2" s="5">
        <v>-2.1069000000000001E-2</v>
      </c>
      <c r="DQ2" s="5">
        <v>-1.2995E-2</v>
      </c>
      <c r="DR2" s="5">
        <v>4.2453999999999999E-2</v>
      </c>
      <c r="DS2" s="5">
        <v>0.81562999999999997</v>
      </c>
      <c r="DU2" s="4" cm="1">
        <f t="array" ref="DU2:ED12">MMULT(CX2:DG12,TRANSPOSE(DJ2:DS11))</f>
        <v>-2.6112686494630499E-2</v>
      </c>
      <c r="DV2" s="4">
        <v>-0.14261142623600984</v>
      </c>
      <c r="DW2" s="4">
        <v>-2.9196460796012649</v>
      </c>
      <c r="DX2" s="4">
        <v>-0.83573392126838064</v>
      </c>
      <c r="DY2" s="4">
        <v>-0.46645213886964887</v>
      </c>
      <c r="DZ2" s="4">
        <v>-3.1835729488307902</v>
      </c>
      <c r="EA2" s="4">
        <v>-1.3718455192085921E-2</v>
      </c>
      <c r="EB2" s="4">
        <v>-3.1927621461666096</v>
      </c>
      <c r="EC2" s="4">
        <v>0.82148565961511966</v>
      </c>
      <c r="ED2" s="4">
        <v>-3.2934117280832251</v>
      </c>
      <c r="EE2" s="4"/>
      <c r="EF2" s="4">
        <f t="shared" ref="EF2:EO2" si="13">DU$2+DJ$13</f>
        <v>0.38535631350536947</v>
      </c>
      <c r="EG2" s="4">
        <f t="shared" si="13"/>
        <v>-0.24884342623600983</v>
      </c>
      <c r="EH2" s="4">
        <f t="shared" si="13"/>
        <v>-2.586804079601265</v>
      </c>
      <c r="EI2" s="4">
        <f t="shared" si="13"/>
        <v>-0.64020592126838061</v>
      </c>
      <c r="EJ2" s="4">
        <f t="shared" si="13"/>
        <v>-0.59886813886964885</v>
      </c>
      <c r="EK2" s="4">
        <f t="shared" si="13"/>
        <v>-3.0714029488307903</v>
      </c>
      <c r="EL2" s="4">
        <f t="shared" si="13"/>
        <v>-0.36333945519208594</v>
      </c>
      <c r="EM2" s="4">
        <f t="shared" si="13"/>
        <v>-2.7676581461666094</v>
      </c>
      <c r="EN2" s="4">
        <f t="shared" si="13"/>
        <v>0.94064465961511967</v>
      </c>
      <c r="EO2" s="4">
        <f t="shared" si="13"/>
        <v>-3.1026217280832253</v>
      </c>
    </row>
    <row r="3" spans="1:156" ht="18.5">
      <c r="A3" s="2">
        <f t="shared" ref="A3:A66" si="14">ROW()-1</f>
        <v>2</v>
      </c>
      <c r="B3" s="9" t="s">
        <v>871</v>
      </c>
      <c r="C3" s="9"/>
      <c r="D3" s="9"/>
      <c r="E3" s="9"/>
      <c r="F3" s="9"/>
      <c r="G3" s="9"/>
      <c r="I3" s="15" t="s">
        <v>25</v>
      </c>
      <c r="J3" s="15">
        <v>1</v>
      </c>
      <c r="K3" s="4">
        <v>-0.40877400000000003</v>
      </c>
      <c r="L3" s="4">
        <v>-0.80097300000000005</v>
      </c>
      <c r="M3" s="4">
        <v>-0.74999099999999996</v>
      </c>
      <c r="N3" s="4">
        <v>-1.177438</v>
      </c>
      <c r="O3" s="4">
        <v>1.002524</v>
      </c>
      <c r="P3" s="4">
        <v>-0.60544100000000001</v>
      </c>
      <c r="Q3" s="4">
        <v>1.1475690000000001</v>
      </c>
      <c r="R3" s="4">
        <v>-0.232873</v>
      </c>
      <c r="S3" s="4">
        <v>-0.55230299999999999</v>
      </c>
      <c r="T3" s="4">
        <v>-1.8031699999999999</v>
      </c>
      <c r="V3" s="1" t="s">
        <v>1219</v>
      </c>
      <c r="X3" s="8">
        <f t="shared" si="0"/>
        <v>741</v>
      </c>
      <c r="Z3" s="4">
        <f t="shared" si="1"/>
        <v>-6.1033999999999998E-2</v>
      </c>
      <c r="AA3" s="4">
        <f t="shared" si="2"/>
        <v>-0.81406100000000003</v>
      </c>
      <c r="AB3" s="4">
        <f t="shared" si="3"/>
        <v>-0.78102400000000005</v>
      </c>
      <c r="AC3" s="4">
        <f t="shared" si="4"/>
        <v>1.129964</v>
      </c>
      <c r="AD3" s="4">
        <f t="shared" si="5"/>
        <v>-2.151675</v>
      </c>
      <c r="AE3" s="4">
        <f t="shared" si="6"/>
        <v>-1.9441109999999999</v>
      </c>
      <c r="AF3" s="4">
        <f t="shared" si="7"/>
        <v>1.9556469999999999</v>
      </c>
      <c r="AG3" s="4">
        <f t="shared" si="8"/>
        <v>-2.3772069999999998</v>
      </c>
      <c r="AH3" s="4">
        <f t="shared" si="9"/>
        <v>-0.59298099999999998</v>
      </c>
      <c r="AI3" s="4">
        <f t="shared" si="10"/>
        <v>0.100548</v>
      </c>
      <c r="AK3" s="4">
        <v>1.128349</v>
      </c>
      <c r="AL3" s="4">
        <v>-0.823546</v>
      </c>
      <c r="AM3" s="4">
        <v>0.37903700000000001</v>
      </c>
      <c r="AN3" s="4">
        <v>-0.54937999999999998</v>
      </c>
      <c r="AO3" s="4">
        <v>0.69083099999999997</v>
      </c>
      <c r="AP3" s="4">
        <v>1.259514</v>
      </c>
      <c r="AQ3" s="4">
        <v>0.39541500000000002</v>
      </c>
      <c r="AR3" s="4">
        <v>0.165162</v>
      </c>
      <c r="AS3" s="4">
        <v>1.9495420000000001</v>
      </c>
      <c r="AT3" s="4">
        <v>-0.23946100000000001</v>
      </c>
      <c r="AV3" s="4">
        <f t="shared" ref="AV3:AV5" si="15">Z3+AK3</f>
        <v>1.067315</v>
      </c>
      <c r="AW3" s="4">
        <f t="shared" ref="AW3:AW7" si="16">AA3+AL3</f>
        <v>-1.637607</v>
      </c>
      <c r="AX3" s="4">
        <f t="shared" ref="AX3:AX7" si="17">AB3+AM3</f>
        <v>-0.40198700000000004</v>
      </c>
      <c r="AY3" s="4">
        <f t="shared" ref="AY3:AY7" si="18">AC3+AN3</f>
        <v>0.58058399999999999</v>
      </c>
      <c r="AZ3" s="4">
        <f t="shared" ref="AZ3:AZ7" si="19">AD3+AO3</f>
        <v>-1.460844</v>
      </c>
      <c r="BA3" s="4">
        <f t="shared" ref="BA3:BA7" si="20">AE3+AP3</f>
        <v>-0.6845969999999999</v>
      </c>
      <c r="BB3" s="4">
        <f t="shared" ref="BB3:BB7" si="21">AF3+AQ3</f>
        <v>2.3510619999999998</v>
      </c>
      <c r="BC3" s="4">
        <f t="shared" ref="BC3:BC7" si="22">AG3+AR3</f>
        <v>-2.2120449999999998</v>
      </c>
      <c r="BD3" s="4">
        <f t="shared" ref="BD3:BD7" si="23">AH3+AS3</f>
        <v>1.3565610000000001</v>
      </c>
      <c r="BE3" s="4">
        <f t="shared" ref="BE3:BE7" si="24">AI3+AT3</f>
        <v>-0.13891300000000001</v>
      </c>
      <c r="BH3" s="5">
        <v>-0.17938799999999999</v>
      </c>
      <c r="BI3" s="5">
        <v>-0.100977</v>
      </c>
      <c r="BJ3" s="5">
        <v>0.40716000000000002</v>
      </c>
      <c r="BK3" s="5">
        <v>-0.351524</v>
      </c>
      <c r="BL3" s="5">
        <v>-8.5403000000000007E-2</v>
      </c>
      <c r="BM3" s="5">
        <v>0.50058499999999995</v>
      </c>
      <c r="BN3" s="5">
        <v>4.2695999999999998E-2</v>
      </c>
      <c r="BO3" s="5">
        <v>0.34936699999999998</v>
      </c>
      <c r="BP3" s="5">
        <v>-0.48729</v>
      </c>
      <c r="BQ3" s="5">
        <v>0.23961499999999999</v>
      </c>
      <c r="BR3" s="5"/>
      <c r="BS3" s="4">
        <v>-2.1689910213660002</v>
      </c>
      <c r="BT3" s="4">
        <v>-1.9785624577779997</v>
      </c>
      <c r="BU3" s="4">
        <v>0.84105384861600008</v>
      </c>
      <c r="BV3" s="4">
        <v>3.8746624243049994</v>
      </c>
      <c r="BW3" s="4">
        <v>0.35920161407700002</v>
      </c>
      <c r="BX3" s="4"/>
      <c r="BY3" s="4">
        <v>-3.1070796800990954</v>
      </c>
      <c r="BZ3" s="4">
        <v>-2.2315733361793937</v>
      </c>
      <c r="CA3" s="4">
        <v>-2.4894958678795107</v>
      </c>
      <c r="CB3" s="4">
        <v>-1.3890064710440655</v>
      </c>
      <c r="CC3" s="4">
        <v>-0.72534251290084673</v>
      </c>
      <c r="CD3" s="4">
        <v>4.8498241176126689</v>
      </c>
      <c r="CE3" s="4">
        <v>2.2373389110152213</v>
      </c>
      <c r="CF3" s="4">
        <v>0.84273557096988627</v>
      </c>
      <c r="CG3" s="4">
        <v>0.41282812779649769</v>
      </c>
      <c r="CH3" s="4">
        <v>1.7914411625636035</v>
      </c>
      <c r="CI3" s="4">
        <v>5.0211487255042595</v>
      </c>
      <c r="CK3" s="4" cm="1">
        <f t="array" ref="CK3">EXP(BY3)/SUM(EXP($BY$3:$CI$3))</f>
        <v>1.4936751690159644E-4</v>
      </c>
      <c r="CL3" s="4" cm="1">
        <f t="array" ref="CL3">EXP(BZ3)/SUM(EXP($BY$3:$CI$3))</f>
        <v>3.5849552209577418E-4</v>
      </c>
      <c r="CM3" s="4" cm="1">
        <f t="array" ref="CM3">EXP(CA3)/SUM(EXP($BY$3:$CI$3))</f>
        <v>2.7699338847861935E-4</v>
      </c>
      <c r="CN3" s="4" cm="1">
        <f t="array" ref="CN3">EXP(CB3)/SUM(EXP($BY$3:$CI$3))</f>
        <v>8.3254147000162487E-4</v>
      </c>
      <c r="CO3" s="4" cm="1">
        <f t="array" ref="CO3">EXP(CC3)/SUM(EXP($BY$3:$CI$3))</f>
        <v>1.6167075645009876E-3</v>
      </c>
      <c r="CP3" s="4" cm="1">
        <f t="array" ref="CP3">EXP(CD3)/SUM(EXP($BY$3:$CI$3))</f>
        <v>0.42647695988644901</v>
      </c>
      <c r="CQ3" s="4" cm="1">
        <f t="array" ref="CQ3">EXP(CE3)/SUM(EXP($BY$3:$CI$3))</f>
        <v>3.1282947397686597E-2</v>
      </c>
      <c r="CR3" s="4" cm="1">
        <f t="array" ref="CR3">EXP(CF3)/SUM(EXP($BY$3:$CI$3))</f>
        <v>7.7560237340253795E-3</v>
      </c>
      <c r="CS3" s="4" cm="1">
        <f t="array" ref="CS3">EXP(CG3)/SUM(EXP($BY$3:$CI$3))</f>
        <v>5.045830982364192E-3</v>
      </c>
      <c r="CT3" s="4" cm="1">
        <f t="array" ref="CT3">EXP(CH3)/SUM(EXP($BY$3:$CI$3))</f>
        <v>2.0028883145869911E-2</v>
      </c>
      <c r="CU3" s="4" cm="1">
        <f t="array" ref="CU3">EXP(CI3)/SUM(EXP($BY$3:$CI$3))</f>
        <v>0.50617524939162639</v>
      </c>
      <c r="CX3" s="4">
        <f t="shared" ref="CX3:CX11" si="25">CQ16</f>
        <v>-0.25558864036690943</v>
      </c>
      <c r="CY3" s="4">
        <f t="shared" ref="CY3:CY12" si="26">CR16</f>
        <v>-0.97736451015674652</v>
      </c>
      <c r="CZ3" s="4">
        <f t="shared" ref="CZ3:CZ12" si="27">CS16</f>
        <v>-1.3619339879807841</v>
      </c>
      <c r="DA3" s="4">
        <f t="shared" ref="DA3:DA12" si="28">CT16</f>
        <v>-0.55381595861513411</v>
      </c>
      <c r="DB3" s="4">
        <f t="shared" ref="DB3:DB12" si="29">CU16</f>
        <v>-0.88879269920022774</v>
      </c>
      <c r="DC3" s="4">
        <f t="shared" ref="DC3:DC12" si="30">CQ42</f>
        <v>-1.0468966135564017</v>
      </c>
      <c r="DD3" s="4">
        <f t="shared" ref="DD3:DD12" si="31">CR42</f>
        <v>0.30817788908749</v>
      </c>
      <c r="DE3" s="4">
        <f t="shared" ref="DE3:DE12" si="32">CS42</f>
        <v>-1.0580168114304862</v>
      </c>
      <c r="DF3" s="4">
        <f t="shared" ref="DF3:DF12" si="33">CT42</f>
        <v>-2.1411070432253867</v>
      </c>
      <c r="DG3" s="4">
        <f t="shared" ref="DG3:DG12" si="34">CU42</f>
        <v>1.1664261606777904</v>
      </c>
      <c r="DH3" s="4"/>
      <c r="DI3" s="4"/>
      <c r="DJ3" s="5">
        <v>-0.40578399999999998</v>
      </c>
      <c r="DK3" s="5">
        <v>-0.20006099999999999</v>
      </c>
      <c r="DL3" s="5">
        <v>0.79791800000000002</v>
      </c>
      <c r="DM3" s="5">
        <v>-0.42269299999999999</v>
      </c>
      <c r="DN3" s="5">
        <v>0.46315699999999999</v>
      </c>
      <c r="DO3" s="5">
        <v>-0.266542</v>
      </c>
      <c r="DP3" s="5">
        <v>0.51900900000000005</v>
      </c>
      <c r="DQ3" s="5">
        <v>0.434695</v>
      </c>
      <c r="DR3" s="5">
        <v>-0.19640199999999999</v>
      </c>
      <c r="DS3" s="5">
        <v>-0.181619</v>
      </c>
      <c r="DU3" s="4">
        <v>0.35350116621675765</v>
      </c>
      <c r="DV3" s="4">
        <v>-0.77727482291051231</v>
      </c>
      <c r="DW3" s="4">
        <v>-2.6154547990570376</v>
      </c>
      <c r="DX3" s="4">
        <v>-1.2777286203278178</v>
      </c>
      <c r="DY3" s="4">
        <v>-0.69313445611435176</v>
      </c>
      <c r="DZ3" s="4">
        <v>-3.0170432591969769</v>
      </c>
      <c r="EA3" s="4">
        <v>0.34168453477943261</v>
      </c>
      <c r="EB3" s="4">
        <v>-3.7392164294031858</v>
      </c>
      <c r="EC3" s="4">
        <v>1.0631363441543229</v>
      </c>
      <c r="ED3" s="4">
        <v>-3.5543327568000884</v>
      </c>
      <c r="EE3" s="4"/>
      <c r="EF3" s="4">
        <f t="shared" ref="EF3:EO3" si="35">DU$3+DJ$13</f>
        <v>0.76497016621675762</v>
      </c>
      <c r="EG3" s="4">
        <f t="shared" si="35"/>
        <v>-0.8835068229105123</v>
      </c>
      <c r="EH3" s="4">
        <f t="shared" si="35"/>
        <v>-2.2826127990570377</v>
      </c>
      <c r="EI3" s="4">
        <f t="shared" si="35"/>
        <v>-1.0822006203278178</v>
      </c>
      <c r="EJ3" s="4">
        <f t="shared" si="35"/>
        <v>-0.82555045611435174</v>
      </c>
      <c r="EK3" s="4">
        <f t="shared" si="35"/>
        <v>-2.904873259196977</v>
      </c>
      <c r="EL3" s="4">
        <f t="shared" si="35"/>
        <v>-7.9364652205674013E-3</v>
      </c>
      <c r="EM3" s="4">
        <f t="shared" si="35"/>
        <v>-3.3141124294031856</v>
      </c>
      <c r="EN3" s="4">
        <f t="shared" si="35"/>
        <v>1.1822953441543229</v>
      </c>
      <c r="EO3" s="4">
        <f t="shared" si="35"/>
        <v>-3.3635427568000886</v>
      </c>
    </row>
    <row r="4" spans="1:156" ht="18.5">
      <c r="A4" s="2">
        <f t="shared" si="14"/>
        <v>3</v>
      </c>
      <c r="B4" s="9" t="s">
        <v>872</v>
      </c>
      <c r="C4" s="9"/>
      <c r="D4" s="9"/>
      <c r="E4" s="9"/>
      <c r="F4" s="9"/>
      <c r="G4" s="9"/>
      <c r="I4" s="15" t="s">
        <v>26</v>
      </c>
      <c r="J4" s="15">
        <v>2</v>
      </c>
      <c r="K4" s="4">
        <v>-0.25707799999999997</v>
      </c>
      <c r="L4" s="4">
        <v>0.63643099999999997</v>
      </c>
      <c r="M4" s="4">
        <v>8.2383999999999999E-2</v>
      </c>
      <c r="N4" s="4">
        <v>-1.1761189999999999</v>
      </c>
      <c r="O4" s="4">
        <v>0.24859700000000001</v>
      </c>
      <c r="P4" s="4">
        <v>-1.223848</v>
      </c>
      <c r="Q4" s="4">
        <v>-0.28051300000000001</v>
      </c>
      <c r="R4" s="4">
        <v>-0.24457699999999999</v>
      </c>
      <c r="S4" s="4">
        <v>-0.87302000000000002</v>
      </c>
      <c r="T4" s="4">
        <v>0.35193400000000002</v>
      </c>
      <c r="V4" s="1" t="s">
        <v>1227</v>
      </c>
      <c r="X4" s="8">
        <f t="shared" si="0"/>
        <v>397</v>
      </c>
      <c r="Z4" s="4">
        <f t="shared" si="1"/>
        <v>0.59317399999999998</v>
      </c>
      <c r="AA4" s="4">
        <f t="shared" si="2"/>
        <v>-1.548727</v>
      </c>
      <c r="AB4" s="4">
        <f t="shared" si="3"/>
        <v>0.91697700000000004</v>
      </c>
      <c r="AC4" s="4">
        <f t="shared" si="4"/>
        <v>-1.278429</v>
      </c>
      <c r="AD4" s="4">
        <f t="shared" si="5"/>
        <v>-0.58346900000000002</v>
      </c>
      <c r="AE4" s="4">
        <f t="shared" si="6"/>
        <v>-1.9285410000000001</v>
      </c>
      <c r="AF4" s="4">
        <f t="shared" si="7"/>
        <v>-2.7795E-2</v>
      </c>
      <c r="AG4" s="4">
        <f t="shared" si="8"/>
        <v>0.29799100000000001</v>
      </c>
      <c r="AH4" s="4">
        <f t="shared" si="9"/>
        <v>0.79916600000000004</v>
      </c>
      <c r="AI4" s="4">
        <f t="shared" si="10"/>
        <v>0.52054999999999996</v>
      </c>
      <c r="AK4" s="4">
        <v>0.50668599999999997</v>
      </c>
      <c r="AL4" s="4">
        <v>-0.86762499999999998</v>
      </c>
      <c r="AM4" s="4">
        <v>-1.5850649999999999</v>
      </c>
      <c r="AN4" s="4">
        <v>-0.67352100000000004</v>
      </c>
      <c r="AO4" s="4">
        <v>0.205508</v>
      </c>
      <c r="AP4" s="4">
        <v>1.4244220000000001</v>
      </c>
      <c r="AQ4" s="4">
        <v>2.4226230000000002</v>
      </c>
      <c r="AR4" s="4">
        <v>5.2909999999999997E-3</v>
      </c>
      <c r="AS4" s="4">
        <v>-1.1332439999999999</v>
      </c>
      <c r="AT4" s="4">
        <v>-0.41255999999999998</v>
      </c>
      <c r="AV4" s="4">
        <f t="shared" si="15"/>
        <v>1.0998600000000001</v>
      </c>
      <c r="AW4" s="4">
        <f t="shared" si="16"/>
        <v>-2.4163519999999998</v>
      </c>
      <c r="AX4" s="4">
        <f t="shared" si="17"/>
        <v>-0.6680879999999999</v>
      </c>
      <c r="AY4" s="4">
        <f t="shared" si="18"/>
        <v>-1.9519500000000001</v>
      </c>
      <c r="AZ4" s="4">
        <f t="shared" si="19"/>
        <v>-0.37796099999999999</v>
      </c>
      <c r="BA4" s="4">
        <f t="shared" si="20"/>
        <v>-0.50411899999999998</v>
      </c>
      <c r="BB4" s="4">
        <f t="shared" si="21"/>
        <v>2.3948280000000004</v>
      </c>
      <c r="BC4" s="4">
        <f t="shared" si="22"/>
        <v>0.303282</v>
      </c>
      <c r="BD4" s="4">
        <f t="shared" si="23"/>
        <v>-0.33407799999999988</v>
      </c>
      <c r="BE4" s="4">
        <f t="shared" si="24"/>
        <v>0.10798999999999997</v>
      </c>
      <c r="BH4" s="5">
        <v>0.10069500000000001</v>
      </c>
      <c r="BI4" s="5">
        <v>0.282663</v>
      </c>
      <c r="BJ4" s="5">
        <v>-0.43870700000000001</v>
      </c>
      <c r="BK4" s="5">
        <v>0.427757</v>
      </c>
      <c r="BL4" s="5">
        <v>-0.262405</v>
      </c>
      <c r="BM4" s="5">
        <v>-0.221945</v>
      </c>
      <c r="BN4" s="5">
        <v>-1.5008000000000001E-2</v>
      </c>
      <c r="BO4" s="5">
        <v>0.126024</v>
      </c>
      <c r="BP4" s="5">
        <v>0.36059999999999998</v>
      </c>
      <c r="BQ4" s="5">
        <v>-0.44180199999999997</v>
      </c>
      <c r="BR4" s="5"/>
      <c r="BS4" s="4">
        <v>-3.2571982421000123E-2</v>
      </c>
      <c r="BT4" s="4">
        <v>0.63763263686400018</v>
      </c>
      <c r="BU4" s="4">
        <v>-1.0689622415860001</v>
      </c>
      <c r="BV4" s="4">
        <v>1.1736720510380003</v>
      </c>
      <c r="BW4" s="4">
        <v>-8.4432618895999983E-2</v>
      </c>
      <c r="BX4" s="4"/>
      <c r="BY4" s="4">
        <v>-0.93979688271620898</v>
      </c>
      <c r="BZ4" s="4">
        <v>0.10796306576614013</v>
      </c>
      <c r="CA4" s="4">
        <v>-0.23256461255159697</v>
      </c>
      <c r="CB4" s="4">
        <v>6.1084397576464762E-3</v>
      </c>
      <c r="CC4" s="4">
        <v>0.53641957070701496</v>
      </c>
      <c r="CD4" s="4">
        <v>0.577518084132287</v>
      </c>
      <c r="CE4" s="4">
        <v>-0.63622026623638406</v>
      </c>
      <c r="CF4" s="4">
        <v>-0.67905854729499815</v>
      </c>
      <c r="CG4" s="4">
        <v>-0.1822374231386594</v>
      </c>
      <c r="CH4" s="4">
        <v>-0.82724348740593157</v>
      </c>
      <c r="CI4" s="4">
        <v>0.35827603176688744</v>
      </c>
      <c r="CK4" s="4" cm="1">
        <f t="array" ref="CK4">EXP(BY4)/SUM(EXP($BY$4:$CI$4))</f>
        <v>3.7094597855350957E-2</v>
      </c>
      <c r="CL4" s="4" cm="1">
        <f t="array" ref="CL4">EXP(BZ4)/SUM(EXP($BY$4:$CI$4))</f>
        <v>0.10576623167089903</v>
      </c>
      <c r="CM4" s="4" cm="1">
        <f t="array" ref="CM4">EXP(CA4)/SUM(EXP($BY$4:$CI$4))</f>
        <v>7.5241551041565907E-2</v>
      </c>
      <c r="CN4" s="4" cm="1">
        <f t="array" ref="CN4">EXP(CB4)/SUM(EXP($BY$4:$CI$4))</f>
        <v>9.5523918451455025E-2</v>
      </c>
      <c r="CO4" s="4" cm="1">
        <f t="array" ref="CO4">EXP(CC4)/SUM(EXP($BY$4:$CI$4))</f>
        <v>0.16233917218718152</v>
      </c>
      <c r="CP4" s="4" cm="1">
        <f t="array" ref="CP4">EXP(CD4)/SUM(EXP($BY$4:$CI$4))</f>
        <v>0.16915007108784821</v>
      </c>
      <c r="CQ4" s="4" cm="1">
        <f t="array" ref="CQ4">EXP(CE4)/SUM(EXP($BY$4:$CI$4))</f>
        <v>5.0251880298920026E-2</v>
      </c>
      <c r="CR4" s="4" cm="1">
        <f t="array" ref="CR4">EXP(CF4)/SUM(EXP($BY$4:$CI$4))</f>
        <v>4.814463378029913E-2</v>
      </c>
      <c r="CS4" s="4" cm="1">
        <f t="array" ref="CS4">EXP(CG4)/SUM(EXP($BY$4:$CI$4))</f>
        <v>7.9125152533878612E-2</v>
      </c>
      <c r="CT4" s="4" cm="1">
        <f t="array" ref="CT4">EXP(CH4)/SUM(EXP($BY$4:$CI$4))</f>
        <v>4.1513751921746202E-2</v>
      </c>
      <c r="CU4" s="4" cm="1">
        <f t="array" ref="CU4">EXP(CI4)/SUM(EXP($BY$4:$CI$4))</f>
        <v>0.13584903917085533</v>
      </c>
      <c r="CX4" s="4">
        <f t="shared" si="25"/>
        <v>0.41314044935875294</v>
      </c>
      <c r="CY4" s="4">
        <f t="shared" si="26"/>
        <v>-0.2015896059266864</v>
      </c>
      <c r="CZ4" s="4">
        <f t="shared" si="27"/>
        <v>-0.62843444333249832</v>
      </c>
      <c r="DA4" s="4">
        <f t="shared" si="28"/>
        <v>0.8353051520295961</v>
      </c>
      <c r="DB4" s="4">
        <f t="shared" si="29"/>
        <v>7.1752751642440979E-2</v>
      </c>
      <c r="DC4" s="4">
        <f t="shared" si="30"/>
        <v>0.88186763154969294</v>
      </c>
      <c r="DD4" s="4">
        <f t="shared" si="31"/>
        <v>-9.8167606220454007E-2</v>
      </c>
      <c r="DE4" s="4">
        <f t="shared" si="32"/>
        <v>0.63841749335789588</v>
      </c>
      <c r="DF4" s="4">
        <f t="shared" si="33"/>
        <v>-8.2044628754710774E-2</v>
      </c>
      <c r="DG4" s="4">
        <f t="shared" si="34"/>
        <v>0.37455943870506614</v>
      </c>
      <c r="DH4" s="4"/>
      <c r="DI4" s="4"/>
      <c r="DJ4" s="5">
        <v>0.33413599999999999</v>
      </c>
      <c r="DK4" s="5">
        <v>0.61324800000000002</v>
      </c>
      <c r="DL4" s="5">
        <v>-0.400814</v>
      </c>
      <c r="DM4" s="5">
        <v>0.55793700000000002</v>
      </c>
      <c r="DN4" s="5">
        <v>0.11469</v>
      </c>
      <c r="DO4" s="5">
        <v>0.446517</v>
      </c>
      <c r="DP4" s="5">
        <v>-0.47591600000000001</v>
      </c>
      <c r="DQ4" s="5">
        <v>7.6162999999999995E-2</v>
      </c>
      <c r="DR4" s="5">
        <v>0.76822500000000005</v>
      </c>
      <c r="DS4" s="5">
        <v>0.23483599999999999</v>
      </c>
      <c r="DU4" s="4">
        <v>1.4258702282254405</v>
      </c>
      <c r="DV4" s="4">
        <v>-1.009000694172334</v>
      </c>
      <c r="DW4" s="4">
        <v>1.2546264918832484</v>
      </c>
      <c r="DX4" s="4">
        <v>0.7252915762554446</v>
      </c>
      <c r="DY4" s="4">
        <v>0.63119855612899078</v>
      </c>
      <c r="DZ4" s="4">
        <v>0.11555778528744476</v>
      </c>
      <c r="EA4" s="4">
        <v>1.7328272018081345</v>
      </c>
      <c r="EB4" s="4">
        <v>-0.12406843799284827</v>
      </c>
      <c r="EC4" s="4">
        <v>-1.2833767909416038</v>
      </c>
      <c r="ED4" s="4">
        <v>0.54343856034983018</v>
      </c>
      <c r="EE4" s="4"/>
      <c r="EF4" s="4">
        <f t="shared" ref="EF4:EO4" si="36">DU$4+DJ$13</f>
        <v>1.8373392282254404</v>
      </c>
      <c r="EG4" s="4">
        <f t="shared" si="36"/>
        <v>-1.1152326941723341</v>
      </c>
      <c r="EH4" s="4">
        <f t="shared" si="36"/>
        <v>1.5874684918832485</v>
      </c>
      <c r="EI4" s="4">
        <f t="shared" si="36"/>
        <v>0.92081957625544464</v>
      </c>
      <c r="EJ4" s="4">
        <f t="shared" si="36"/>
        <v>0.49878255612899081</v>
      </c>
      <c r="EK4" s="4">
        <f t="shared" si="36"/>
        <v>0.22772778528744475</v>
      </c>
      <c r="EL4" s="4">
        <f t="shared" si="36"/>
        <v>1.3832062018081346</v>
      </c>
      <c r="EM4" s="4">
        <f t="shared" si="36"/>
        <v>0.3010355620071517</v>
      </c>
      <c r="EN4" s="4">
        <f t="shared" si="36"/>
        <v>-1.1642177909416038</v>
      </c>
      <c r="EO4" s="4">
        <f t="shared" si="36"/>
        <v>0.73422856034983019</v>
      </c>
    </row>
    <row r="5" spans="1:156" ht="18" customHeight="1">
      <c r="A5" s="2">
        <f t="shared" si="14"/>
        <v>4</v>
      </c>
      <c r="B5" s="9" t="s">
        <v>873</v>
      </c>
      <c r="C5" s="9"/>
      <c r="D5" s="9"/>
      <c r="E5" s="9"/>
      <c r="F5" s="9"/>
      <c r="G5" s="9"/>
      <c r="I5" s="15" t="s">
        <v>27</v>
      </c>
      <c r="J5" s="15">
        <v>3</v>
      </c>
      <c r="K5" s="4">
        <v>-1.253153</v>
      </c>
      <c r="L5" s="4">
        <v>1.2975490000000001</v>
      </c>
      <c r="M5" s="4">
        <v>-1.284232</v>
      </c>
      <c r="N5" s="4">
        <v>0.56343600000000005</v>
      </c>
      <c r="O5" s="4">
        <v>-1.2294890000000001</v>
      </c>
      <c r="P5" s="4">
        <v>-0.88801300000000005</v>
      </c>
      <c r="Q5" s="4">
        <v>-0.91003500000000004</v>
      </c>
      <c r="R5" s="4">
        <v>-4.0786000000000003E-2</v>
      </c>
      <c r="S5" s="4">
        <v>-1.82698</v>
      </c>
      <c r="T5" s="4">
        <v>0.162386</v>
      </c>
      <c r="V5" s="1" t="s">
        <v>1225</v>
      </c>
      <c r="X5" s="8">
        <f t="shared" si="0"/>
        <v>578</v>
      </c>
      <c r="Z5" s="4">
        <f t="shared" si="1"/>
        <v>-0.55188000000000004</v>
      </c>
      <c r="AA5" s="4">
        <f t="shared" si="2"/>
        <v>-4.7833000000000001E-2</v>
      </c>
      <c r="AB5" s="4">
        <f t="shared" si="3"/>
        <v>2.266019</v>
      </c>
      <c r="AC5" s="4">
        <f t="shared" si="4"/>
        <v>2.473481</v>
      </c>
      <c r="AD5" s="4">
        <f t="shared" si="5"/>
        <v>0.93401100000000004</v>
      </c>
      <c r="AE5" s="4">
        <f t="shared" si="6"/>
        <v>-0.146124</v>
      </c>
      <c r="AF5" s="4">
        <f t="shared" si="7"/>
        <v>0.30532999999999999</v>
      </c>
      <c r="AG5" s="4">
        <f t="shared" si="8"/>
        <v>9.6606999999999998E-2</v>
      </c>
      <c r="AH5" s="4">
        <f t="shared" si="9"/>
        <v>-0.65647599999999995</v>
      </c>
      <c r="AI5" s="4">
        <f t="shared" si="10"/>
        <v>-7.7168E-2</v>
      </c>
      <c r="AK5" s="4">
        <v>0.24321200000000001</v>
      </c>
      <c r="AL5" s="4">
        <v>-0.86236299999999999</v>
      </c>
      <c r="AM5" s="4">
        <v>-0.65613200000000005</v>
      </c>
      <c r="AN5" s="4">
        <v>-0.45883600000000002</v>
      </c>
      <c r="AO5" s="4">
        <v>1.5044500000000001</v>
      </c>
      <c r="AP5" s="4">
        <v>0.74135200000000001</v>
      </c>
      <c r="AQ5" s="4">
        <v>-0.26308700000000002</v>
      </c>
      <c r="AR5" s="4">
        <v>0.388567</v>
      </c>
      <c r="AS5" s="4">
        <v>0.14263799999999999</v>
      </c>
      <c r="AT5" s="4">
        <v>0.80867</v>
      </c>
      <c r="AV5" s="4">
        <f t="shared" si="15"/>
        <v>-0.30866800000000005</v>
      </c>
      <c r="AW5" s="4">
        <f t="shared" si="16"/>
        <v>-0.91019600000000001</v>
      </c>
      <c r="AX5" s="4">
        <f t="shared" si="17"/>
        <v>1.6098870000000001</v>
      </c>
      <c r="AY5" s="4">
        <f t="shared" si="18"/>
        <v>2.0146449999999998</v>
      </c>
      <c r="AZ5" s="4">
        <f t="shared" si="19"/>
        <v>2.4384610000000002</v>
      </c>
      <c r="BA5" s="4">
        <f t="shared" si="20"/>
        <v>0.59522799999999998</v>
      </c>
      <c r="BB5" s="4">
        <f t="shared" si="21"/>
        <v>4.2242999999999975E-2</v>
      </c>
      <c r="BC5" s="4">
        <f t="shared" si="22"/>
        <v>0.48517399999999999</v>
      </c>
      <c r="BD5" s="4">
        <f t="shared" si="23"/>
        <v>-0.51383800000000002</v>
      </c>
      <c r="BE5" s="4">
        <f t="shared" si="24"/>
        <v>0.73150199999999999</v>
      </c>
      <c r="BH5" s="5">
        <v>0.56610000000000005</v>
      </c>
      <c r="BI5" s="5">
        <v>4.9805000000000002E-2</v>
      </c>
      <c r="BJ5" s="5">
        <v>-0.63580800000000004</v>
      </c>
      <c r="BK5" s="5">
        <v>0.61226999999999998</v>
      </c>
      <c r="BL5" s="5">
        <v>-0.272007</v>
      </c>
      <c r="BM5" s="5">
        <v>-0.205567</v>
      </c>
      <c r="BN5" s="5">
        <v>0.59252199999999999</v>
      </c>
      <c r="BO5" s="5">
        <v>-0.20626800000000001</v>
      </c>
      <c r="BP5" s="5">
        <v>0.21332200000000001</v>
      </c>
      <c r="BQ5" s="5">
        <v>-0.46180700000000002</v>
      </c>
      <c r="BR5" s="5"/>
      <c r="BS5" s="4">
        <v>0.68971554266600021</v>
      </c>
      <c r="BT5" s="4">
        <v>0.781250404949</v>
      </c>
      <c r="BU5" s="4">
        <v>-1.352781932389</v>
      </c>
      <c r="BV5" s="4">
        <v>-1.318250959365</v>
      </c>
      <c r="BW5" s="4">
        <v>-0.3653386497180004</v>
      </c>
      <c r="BX5" s="4"/>
      <c r="BY5" s="4">
        <v>0.68748594004422459</v>
      </c>
      <c r="BZ5" s="4">
        <v>1.1204766243858779</v>
      </c>
      <c r="CA5" s="4">
        <v>0.8843799398026071</v>
      </c>
      <c r="CB5" s="4">
        <v>0.28644540003908836</v>
      </c>
      <c r="CC5" s="4">
        <v>0.54556887139716637</v>
      </c>
      <c r="CD5" s="4">
        <v>-1.8536636582157624</v>
      </c>
      <c r="CE5" s="4">
        <v>-1.2895155559774569</v>
      </c>
      <c r="CF5" s="4">
        <v>-0.58003735865637507</v>
      </c>
      <c r="CG5" s="4">
        <v>-0.38868485496866545</v>
      </c>
      <c r="CH5" s="4">
        <v>-1.0463850575178126</v>
      </c>
      <c r="CI5" s="4">
        <v>-2.3465396244410708</v>
      </c>
      <c r="CK5" s="4" cm="1">
        <f t="array" ref="CK5">EXP(BY5)/SUM(EXP($BY$5:$CI$5))</f>
        <v>0.15720304303973259</v>
      </c>
      <c r="CL5" s="4" cm="1">
        <f t="array" ref="CL5">EXP(BZ5)/SUM(EXP($BY$5:$CI$5))</f>
        <v>0.24238537589487438</v>
      </c>
      <c r="CM5" s="4" cm="1">
        <f t="array" ref="CM5">EXP(CA5)/SUM(EXP($BY$5:$CI$5))</f>
        <v>0.19141277796635581</v>
      </c>
      <c r="CN5" s="4" cm="1">
        <f t="array" ref="CN5">EXP(CB5)/SUM(EXP($BY$5:$CI$5))</f>
        <v>0.10526675976542073</v>
      </c>
      <c r="CO5" s="4" cm="1">
        <f t="array" ref="CO5">EXP(CC5)/SUM(EXP($BY$5:$CI$5))</f>
        <v>0.13640401342586833</v>
      </c>
      <c r="CP5" s="4" cm="1">
        <f t="array" ref="CP5">EXP(CD5)/SUM(EXP($BY$5:$CI$5))</f>
        <v>1.238379346706071E-2</v>
      </c>
      <c r="CQ5" s="4" cm="1">
        <f t="array" ref="CQ5">EXP(CE5)/SUM(EXP($BY$5:$CI$5))</f>
        <v>2.1770084169485907E-2</v>
      </c>
      <c r="CR5" s="4" cm="1">
        <f t="array" ref="CR5">EXP(CF5)/SUM(EXP($BY$5:$CI$5))</f>
        <v>4.4257061421366636E-2</v>
      </c>
      <c r="CS5" s="4" cm="1">
        <f t="array" ref="CS5">EXP(CG5)/SUM(EXP($BY$5:$CI$5))</f>
        <v>5.3590265755999011E-2</v>
      </c>
      <c r="CT5" s="4" cm="1">
        <f t="array" ref="CT5">EXP(CH5)/SUM(EXP($BY$5:$CI$5))</f>
        <v>2.776197392738285E-2</v>
      </c>
      <c r="CU5" s="4" cm="1">
        <f t="array" ref="CU5">EXP(CI5)/SUM(EXP($BY$5:$CI$5))</f>
        <v>7.5648511664531161E-3</v>
      </c>
      <c r="CX5" s="4">
        <f t="shared" si="25"/>
        <v>1.0294762028445263</v>
      </c>
      <c r="CY5" s="4">
        <f t="shared" si="26"/>
        <v>0.55229944531352371</v>
      </c>
      <c r="CZ5" s="4">
        <f t="shared" si="27"/>
        <v>-0.13764730248419119</v>
      </c>
      <c r="DA5" s="4">
        <f t="shared" si="28"/>
        <v>1.4900379819649434</v>
      </c>
      <c r="DB5" s="4">
        <f t="shared" si="29"/>
        <v>0.7380013904199203</v>
      </c>
      <c r="DC5" s="4">
        <f t="shared" si="30"/>
        <v>3.9198791130058619</v>
      </c>
      <c r="DD5" s="4">
        <f t="shared" si="31"/>
        <v>-0.95832180111573018</v>
      </c>
      <c r="DE5" s="4">
        <f t="shared" si="32"/>
        <v>2.8946790820950961</v>
      </c>
      <c r="DF5" s="4">
        <f t="shared" si="33"/>
        <v>2.0821896640815041</v>
      </c>
      <c r="DG5" s="4">
        <f t="shared" si="34"/>
        <v>-1.6664956784125502</v>
      </c>
      <c r="DH5" s="4"/>
      <c r="DI5" s="4"/>
      <c r="DJ5" s="5">
        <v>-0.18957099999999999</v>
      </c>
      <c r="DK5" s="5">
        <v>-0.17668</v>
      </c>
      <c r="DL5" s="5">
        <v>0.58660000000000001</v>
      </c>
      <c r="DM5" s="5">
        <v>0.52638700000000005</v>
      </c>
      <c r="DN5" s="5">
        <v>0.57033599999999995</v>
      </c>
      <c r="DO5" s="5">
        <v>0.354576</v>
      </c>
      <c r="DP5" s="5">
        <v>-5.6769999999999998E-3</v>
      </c>
      <c r="DQ5" s="5">
        <v>0.27519199999999999</v>
      </c>
      <c r="DR5" s="5">
        <v>-0.12848599999999999</v>
      </c>
      <c r="DS5" s="5">
        <v>0.417935</v>
      </c>
      <c r="DU5" s="4">
        <v>1.3457550772889013</v>
      </c>
      <c r="DV5" s="4">
        <v>-1.3162543962655833</v>
      </c>
      <c r="DW5" s="4">
        <v>5.2889190163467852</v>
      </c>
      <c r="DX5" s="4">
        <v>2.0596712599959459</v>
      </c>
      <c r="DY5" s="4">
        <v>1.2311505653515784</v>
      </c>
      <c r="DZ5" s="4">
        <v>5.2226362768195713</v>
      </c>
      <c r="EA5" s="4">
        <v>1.92627213693966</v>
      </c>
      <c r="EB5" s="4">
        <v>4.5409767766095692</v>
      </c>
      <c r="EC5" s="4">
        <v>-3.5498656895754714</v>
      </c>
      <c r="ED5" s="4">
        <v>5.7761378951919795</v>
      </c>
      <c r="EE5" s="4"/>
      <c r="EF5" s="4">
        <f t="shared" ref="EF5:EO5" si="37">DU$5+DJ$13</f>
        <v>1.7572240772889014</v>
      </c>
      <c r="EG5" s="4">
        <f t="shared" si="37"/>
        <v>-1.4224863962655832</v>
      </c>
      <c r="EH5" s="4">
        <f t="shared" si="37"/>
        <v>5.6217610163467855</v>
      </c>
      <c r="EI5" s="4">
        <f t="shared" si="37"/>
        <v>2.2551992599959458</v>
      </c>
      <c r="EJ5" s="4">
        <f t="shared" si="37"/>
        <v>1.0987345653515783</v>
      </c>
      <c r="EK5" s="4">
        <f t="shared" si="37"/>
        <v>5.3348062768195712</v>
      </c>
      <c r="EL5" s="4">
        <f t="shared" si="37"/>
        <v>1.5766511369396601</v>
      </c>
      <c r="EM5" s="4">
        <f t="shared" si="37"/>
        <v>4.9660807766095694</v>
      </c>
      <c r="EN5" s="4">
        <f t="shared" si="37"/>
        <v>-3.4307066895754716</v>
      </c>
      <c r="EO5" s="4">
        <f t="shared" si="37"/>
        <v>5.9669278951919793</v>
      </c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</row>
    <row r="6" spans="1:156" ht="16.5" customHeight="1">
      <c r="A6" s="2">
        <f t="shared" si="14"/>
        <v>5</v>
      </c>
      <c r="B6" s="9" t="s">
        <v>874</v>
      </c>
      <c r="C6" s="9"/>
      <c r="D6" s="9"/>
      <c r="E6" s="9"/>
      <c r="F6" s="9"/>
      <c r="G6" s="9"/>
      <c r="I6" s="15" t="s">
        <v>28</v>
      </c>
      <c r="J6" s="15">
        <v>4</v>
      </c>
      <c r="K6" s="4">
        <v>1.0824320000000001</v>
      </c>
      <c r="L6" s="4">
        <v>-1.7439E-2</v>
      </c>
      <c r="M6" s="4">
        <v>7.5269999999999998E-3</v>
      </c>
      <c r="N6" s="4">
        <v>-1.4707049999999999</v>
      </c>
      <c r="O6" s="4">
        <v>2.0431910000000002</v>
      </c>
      <c r="P6" s="4">
        <v>-1.1736329999999999</v>
      </c>
      <c r="Q6" s="4">
        <v>1.249579</v>
      </c>
      <c r="R6" s="4">
        <v>0.12694</v>
      </c>
      <c r="S6" s="4">
        <v>1.6832469999999999</v>
      </c>
      <c r="T6" s="4">
        <v>-0.480545</v>
      </c>
      <c r="V6" s="1" t="s">
        <v>1241</v>
      </c>
      <c r="X6" s="8">
        <f t="shared" si="0"/>
        <v>702</v>
      </c>
      <c r="Z6" s="4">
        <f t="shared" si="1"/>
        <v>0.52617199999999997</v>
      </c>
      <c r="AA6" s="4">
        <f t="shared" si="2"/>
        <v>-0.351051</v>
      </c>
      <c r="AB6" s="4">
        <f t="shared" si="3"/>
        <v>1.3017270000000001</v>
      </c>
      <c r="AC6" s="4">
        <f t="shared" si="4"/>
        <v>1.5268619999999999</v>
      </c>
      <c r="AD6" s="4">
        <f t="shared" si="5"/>
        <v>1.1155919999999999</v>
      </c>
      <c r="AE6" s="4">
        <f t="shared" si="6"/>
        <v>-0.27622000000000002</v>
      </c>
      <c r="AF6" s="4">
        <f t="shared" si="7"/>
        <v>-7.1875999999999995E-2</v>
      </c>
      <c r="AG6" s="4">
        <f t="shared" si="8"/>
        <v>0.71300600000000003</v>
      </c>
      <c r="AH6" s="4">
        <f t="shared" si="9"/>
        <v>-7.4171000000000001E-2</v>
      </c>
      <c r="AI6" s="4">
        <f t="shared" si="10"/>
        <v>0.74497999999999998</v>
      </c>
      <c r="AK6" s="4">
        <v>1.7158720000000001</v>
      </c>
      <c r="AL6" s="4">
        <v>0.75839000000000001</v>
      </c>
      <c r="AM6" s="4">
        <v>0.46128599999999997</v>
      </c>
      <c r="AN6" s="4">
        <v>-0.305784</v>
      </c>
      <c r="AO6" s="4">
        <v>0.91646700000000003</v>
      </c>
      <c r="AP6" s="4">
        <v>-0.83944200000000002</v>
      </c>
      <c r="AQ6" s="4">
        <v>-1.2020280000000001</v>
      </c>
      <c r="AR6" s="4">
        <v>0.64795899999999995</v>
      </c>
      <c r="AS6" s="4">
        <v>2.9710000000000001E-3</v>
      </c>
      <c r="AT6" s="4">
        <v>-0.78135500000000002</v>
      </c>
      <c r="AV6" s="4">
        <f>Z6+AK6</f>
        <v>2.2420439999999999</v>
      </c>
      <c r="AW6" s="4">
        <f t="shared" si="16"/>
        <v>0.40733900000000001</v>
      </c>
      <c r="AX6" s="4">
        <f t="shared" si="17"/>
        <v>1.7630129999999999</v>
      </c>
      <c r="AY6" s="4">
        <f t="shared" si="18"/>
        <v>1.2210779999999999</v>
      </c>
      <c r="AZ6" s="4">
        <f t="shared" si="19"/>
        <v>2.0320589999999998</v>
      </c>
      <c r="BA6" s="4">
        <f t="shared" si="20"/>
        <v>-1.1156619999999999</v>
      </c>
      <c r="BB6" s="4">
        <f t="shared" si="21"/>
        <v>-1.2739040000000001</v>
      </c>
      <c r="BC6" s="4">
        <f t="shared" si="22"/>
        <v>1.360965</v>
      </c>
      <c r="BD6" s="4">
        <f t="shared" si="23"/>
        <v>-7.1199999999999999E-2</v>
      </c>
      <c r="BE6" s="4">
        <f t="shared" si="24"/>
        <v>-3.6375000000000046E-2</v>
      </c>
      <c r="BH6" s="5">
        <v>0.14674300000000001</v>
      </c>
      <c r="BI6" s="5">
        <v>0.16031500000000001</v>
      </c>
      <c r="BJ6" s="5">
        <v>-0.310747</v>
      </c>
      <c r="BK6" s="5">
        <v>0.27514499999999997</v>
      </c>
      <c r="BL6" s="5">
        <v>-0.14535100000000001</v>
      </c>
      <c r="BM6" s="5">
        <v>-0.105751</v>
      </c>
      <c r="BN6" s="5">
        <v>0.124081</v>
      </c>
      <c r="BO6" s="5">
        <v>0.175262</v>
      </c>
      <c r="BP6" s="5">
        <v>8.3180000000000007E-3</v>
      </c>
      <c r="BQ6" s="5">
        <v>0.14108100000000001</v>
      </c>
      <c r="BR6" s="5"/>
      <c r="BS6" s="4">
        <v>-0.52971361019099983</v>
      </c>
      <c r="BT6" s="4">
        <v>-0.43970039976799985</v>
      </c>
      <c r="BU6" s="4">
        <v>-1.4797204971000059E-2</v>
      </c>
      <c r="BV6" s="4">
        <v>-0.44112066849099996</v>
      </c>
      <c r="BW6" s="4">
        <v>7.9783987159999861E-2</v>
      </c>
      <c r="BX6" s="4"/>
      <c r="BY6" s="4">
        <v>-8.14350364395868E-2</v>
      </c>
      <c r="BZ6" s="4">
        <v>-0.21389249439432523</v>
      </c>
      <c r="CA6" s="4">
        <v>-0.19317583249790851</v>
      </c>
      <c r="CB6" s="4">
        <v>-0.2109703094857516</v>
      </c>
      <c r="CC6" s="4">
        <v>-5.2478785769946835E-2</v>
      </c>
      <c r="CD6" s="4">
        <v>0.1300626082146645</v>
      </c>
      <c r="CE6" s="4">
        <v>0.41217169221707994</v>
      </c>
      <c r="CF6" s="4">
        <v>0.2941917113263301</v>
      </c>
      <c r="CG6" s="4">
        <v>-7.3095849492489609E-2</v>
      </c>
      <c r="CH6" s="4">
        <v>0.41522966850917142</v>
      </c>
      <c r="CI6" s="4">
        <v>-3.3315282389212678E-2</v>
      </c>
      <c r="CK6" s="4" cm="1">
        <f t="array" ref="CK6">EXP(BY6)/SUM(EXP($BY$6:$CI$6))</f>
        <v>7.8686588374605779E-2</v>
      </c>
      <c r="CL6" s="4" cm="1">
        <f t="array" ref="CL6">EXP(BZ6)/SUM(EXP($BY$6:$CI$6))</f>
        <v>6.8924745769408421E-2</v>
      </c>
      <c r="CM6" s="4" cm="1">
        <f t="array" ref="CM6">EXP(CA6)/SUM(EXP($BY$6:$CI$6))</f>
        <v>7.0367529655987429E-2</v>
      </c>
      <c r="CN6" s="4" cm="1">
        <f t="array" ref="CN6">EXP(CB6)/SUM(EXP($BY$6:$CI$6))</f>
        <v>6.9126451188055271E-2</v>
      </c>
      <c r="CO6" s="4" cm="1">
        <f t="array" ref="CO6">EXP(CC6)/SUM(EXP($BY$6:$CI$6))</f>
        <v>8.0998365626386959E-2</v>
      </c>
      <c r="CP6" s="4" cm="1">
        <f t="array" ref="CP6">EXP(CD6)/SUM(EXP($BY$6:$CI$6))</f>
        <v>9.7219408844325367E-2</v>
      </c>
      <c r="CQ6" s="4" cm="1">
        <f t="array" ref="CQ6">EXP(CE6)/SUM(EXP($BY$6:$CI$6))</f>
        <v>0.12890548417473346</v>
      </c>
      <c r="CR6" s="4" cm="1">
        <f t="array" ref="CR6">EXP(CF6)/SUM(EXP($BY$6:$CI$6))</f>
        <v>0.11456008831442967</v>
      </c>
      <c r="CS6" s="4" cm="1">
        <f t="array" ref="CS6">EXP(CG6)/SUM(EXP($BY$6:$CI$6))</f>
        <v>7.934551417944373E-2</v>
      </c>
      <c r="CT6" s="4" cm="1">
        <f t="array" ref="CT6">EXP(CH6)/SUM(EXP($BY$6:$CI$6))</f>
        <v>0.12930027741579631</v>
      </c>
      <c r="CU6" s="4" cm="1">
        <f t="array" ref="CU6">EXP(CI6)/SUM(EXP($BY$6:$CI$6))</f>
        <v>8.2565546456827593E-2</v>
      </c>
      <c r="CX6" s="4">
        <f t="shared" si="25"/>
        <v>0.4650118357506634</v>
      </c>
      <c r="CY6" s="4">
        <f t="shared" si="26"/>
        <v>0.22346329138823043</v>
      </c>
      <c r="CZ6" s="4">
        <f t="shared" si="27"/>
        <v>-0.44365121644600269</v>
      </c>
      <c r="DA6" s="4">
        <f t="shared" si="28"/>
        <v>0.8135174746786189</v>
      </c>
      <c r="DB6" s="4">
        <f t="shared" si="29"/>
        <v>0.24321220675256924</v>
      </c>
      <c r="DC6" s="4">
        <f t="shared" si="30"/>
        <v>2.5914774658048931</v>
      </c>
      <c r="DD6" s="4">
        <f t="shared" si="31"/>
        <v>-1.2143713553302141E-2</v>
      </c>
      <c r="DE6" s="4">
        <f t="shared" si="32"/>
        <v>2.3515237018149699</v>
      </c>
      <c r="DF6" s="4">
        <f t="shared" si="33"/>
        <v>0.98979883791614731</v>
      </c>
      <c r="DG6" s="4">
        <f t="shared" si="34"/>
        <v>-1.6316759500613975</v>
      </c>
      <c r="DH6" s="4"/>
      <c r="DI6" s="4"/>
      <c r="DJ6" s="5">
        <v>-0.25047599999999998</v>
      </c>
      <c r="DK6" s="5">
        <v>2.2661000000000001E-2</v>
      </c>
      <c r="DL6" s="5">
        <v>0.48348099999999999</v>
      </c>
      <c r="DM6" s="5">
        <v>0.36965999999999999</v>
      </c>
      <c r="DN6" s="5">
        <v>0.19514999999999999</v>
      </c>
      <c r="DO6" s="5">
        <v>0.43339</v>
      </c>
      <c r="DP6" s="5">
        <v>-0.24127499999999999</v>
      </c>
      <c r="DQ6" s="5">
        <v>6.1126E-2</v>
      </c>
      <c r="DR6" s="5">
        <v>-1.9486E-2</v>
      </c>
      <c r="DS6" s="5">
        <v>0.73099899999999995</v>
      </c>
      <c r="DU6" s="4">
        <v>0.26940611216906674</v>
      </c>
      <c r="DV6" s="4">
        <v>-0.39152045425016108</v>
      </c>
      <c r="DW6" s="4">
        <v>2.6712519269275226</v>
      </c>
      <c r="DX6" s="4">
        <v>0.93601302613883952</v>
      </c>
      <c r="DY6" s="4">
        <v>8.0029318348930012E-2</v>
      </c>
      <c r="DZ6" s="4">
        <v>3.9163347076724846</v>
      </c>
      <c r="EA6" s="4">
        <v>0.14388086636742736</v>
      </c>
      <c r="EB6" s="4">
        <v>3.0986657515038605</v>
      </c>
      <c r="EC6" s="4">
        <v>-2.0864723175378543</v>
      </c>
      <c r="ED6" s="4">
        <v>4.2159020530097333</v>
      </c>
      <c r="EE6" s="4"/>
      <c r="EF6" s="4">
        <f t="shared" ref="EF6:EO6" si="38">DU$6+DJ$13</f>
        <v>0.68087511216906671</v>
      </c>
      <c r="EG6" s="4">
        <f t="shared" si="38"/>
        <v>-0.49775245425016107</v>
      </c>
      <c r="EH6" s="4">
        <f t="shared" si="38"/>
        <v>3.0040939269275224</v>
      </c>
      <c r="EI6" s="4">
        <f t="shared" si="38"/>
        <v>1.1315410261388394</v>
      </c>
      <c r="EJ6" s="4">
        <f t="shared" si="38"/>
        <v>-5.2386681651069994E-2</v>
      </c>
      <c r="EK6" s="4">
        <f t="shared" si="38"/>
        <v>4.0285047076724849</v>
      </c>
      <c r="EL6" s="4">
        <f t="shared" si="38"/>
        <v>-0.20574013363257265</v>
      </c>
      <c r="EM6" s="4">
        <f t="shared" si="38"/>
        <v>3.5237697515038606</v>
      </c>
      <c r="EN6" s="4">
        <f t="shared" si="38"/>
        <v>-1.9673133175378543</v>
      </c>
      <c r="EO6" s="4">
        <f t="shared" si="38"/>
        <v>4.4066920530097331</v>
      </c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</row>
    <row r="7" spans="1:156" ht="16.5" customHeight="1">
      <c r="A7" s="2">
        <f t="shared" si="14"/>
        <v>6</v>
      </c>
      <c r="B7" s="9" t="s">
        <v>875</v>
      </c>
      <c r="C7" s="9"/>
      <c r="D7" s="9"/>
      <c r="E7" s="9"/>
      <c r="F7" s="9"/>
      <c r="G7" s="9"/>
      <c r="I7" s="15" t="s">
        <v>29</v>
      </c>
      <c r="J7" s="15">
        <v>5</v>
      </c>
      <c r="K7" s="4">
        <v>-1.536832</v>
      </c>
      <c r="L7" s="4">
        <v>-1.691811</v>
      </c>
      <c r="M7" s="4">
        <v>-1.573658</v>
      </c>
      <c r="N7" s="4">
        <v>0.328351</v>
      </c>
      <c r="O7" s="4">
        <v>-1.4848410000000001</v>
      </c>
      <c r="P7" s="4">
        <v>0.173847</v>
      </c>
      <c r="Q7" s="4">
        <v>1.252718</v>
      </c>
      <c r="R7" s="4">
        <v>2.316093</v>
      </c>
      <c r="S7" s="4">
        <v>0.30046899999999999</v>
      </c>
      <c r="T7" s="4">
        <v>1.1028819999999999</v>
      </c>
      <c r="V7" s="1" t="s">
        <v>1224</v>
      </c>
      <c r="X7" s="8">
        <f t="shared" si="0"/>
        <v>812</v>
      </c>
      <c r="Z7" s="4">
        <f t="shared" si="1"/>
        <v>1.5031300000000001</v>
      </c>
      <c r="AA7" s="4">
        <f t="shared" si="2"/>
        <v>-1.568716</v>
      </c>
      <c r="AB7" s="4">
        <f t="shared" si="3"/>
        <v>2.2206009999999998</v>
      </c>
      <c r="AC7" s="4">
        <f t="shared" si="4"/>
        <v>-1.4878130000000001</v>
      </c>
      <c r="AD7" s="4">
        <f t="shared" si="5"/>
        <v>-0.18801599999999999</v>
      </c>
      <c r="AE7" s="4">
        <f t="shared" si="6"/>
        <v>1.1160300000000001</v>
      </c>
      <c r="AF7" s="4">
        <f t="shared" si="7"/>
        <v>-0.527281</v>
      </c>
      <c r="AG7" s="4">
        <f t="shared" si="8"/>
        <v>1.4215949999999999</v>
      </c>
      <c r="AH7" s="4">
        <f t="shared" si="9"/>
        <v>0.20618</v>
      </c>
      <c r="AI7" s="4">
        <f t="shared" si="10"/>
        <v>0.46781699999999998</v>
      </c>
      <c r="AJ7" s="2" t="s">
        <v>2</v>
      </c>
      <c r="AK7" s="4">
        <v>-0.39759100000000003</v>
      </c>
      <c r="AL7" s="4">
        <v>1.3409359999999999</v>
      </c>
      <c r="AM7" s="4">
        <v>0.602047</v>
      </c>
      <c r="AN7" s="4">
        <v>-1.4615009999999999</v>
      </c>
      <c r="AO7" s="4">
        <v>-0.69957800000000003</v>
      </c>
      <c r="AP7" s="4">
        <v>-0.50592999999999999</v>
      </c>
      <c r="AQ7" s="4">
        <v>-1.6180890000000001</v>
      </c>
      <c r="AR7" s="4">
        <v>0.94896899999999995</v>
      </c>
      <c r="AS7" s="4">
        <v>1.2742599999999999</v>
      </c>
      <c r="AT7" s="4">
        <v>-0.78238799999999997</v>
      </c>
      <c r="AU7" s="2" t="s">
        <v>3</v>
      </c>
      <c r="AV7" s="4">
        <f>Z7+AK7</f>
        <v>1.105539</v>
      </c>
      <c r="AW7" s="4">
        <f t="shared" si="16"/>
        <v>-0.22778000000000009</v>
      </c>
      <c r="AX7" s="4">
        <f t="shared" si="17"/>
        <v>2.822648</v>
      </c>
      <c r="AY7" s="4">
        <f t="shared" si="18"/>
        <v>-2.9493140000000002</v>
      </c>
      <c r="AZ7" s="4">
        <f t="shared" si="19"/>
        <v>-0.88759399999999999</v>
      </c>
      <c r="BA7" s="4">
        <f t="shared" si="20"/>
        <v>0.61010000000000009</v>
      </c>
      <c r="BB7" s="4">
        <f t="shared" si="21"/>
        <v>-2.1453700000000002</v>
      </c>
      <c r="BC7" s="4">
        <f t="shared" si="22"/>
        <v>2.3705639999999999</v>
      </c>
      <c r="BD7" s="4">
        <f t="shared" si="23"/>
        <v>1.48044</v>
      </c>
      <c r="BE7" s="4">
        <f t="shared" si="24"/>
        <v>-0.31457099999999999</v>
      </c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4">
        <v>0.65443087188300009</v>
      </c>
      <c r="BT7" s="4">
        <v>2.3317328017290002</v>
      </c>
      <c r="BU7" s="4">
        <v>-1.3516969828610006</v>
      </c>
      <c r="BV7" s="4">
        <v>-4.1689911697209991</v>
      </c>
      <c r="BW7" s="4">
        <v>-1.3812064079479998</v>
      </c>
      <c r="BX7" s="4"/>
      <c r="BY7" s="4">
        <v>1.8635959873774446</v>
      </c>
      <c r="BZ7" s="4">
        <v>2.0227882221547997</v>
      </c>
      <c r="CA7" s="4">
        <v>2.2759705758865127</v>
      </c>
      <c r="CB7" s="4">
        <v>0.70329555570974145</v>
      </c>
      <c r="CC7" s="4">
        <v>1.3334244079191013</v>
      </c>
      <c r="CD7" s="4">
        <v>-3.8362463283526944</v>
      </c>
      <c r="CE7" s="4">
        <v>-1.9834845510835033</v>
      </c>
      <c r="CF7" s="4">
        <v>-1.1281918501292163</v>
      </c>
      <c r="CG7" s="4">
        <v>-1.2274717613168482</v>
      </c>
      <c r="CH7" s="4">
        <v>-2.0007288541946329</v>
      </c>
      <c r="CI7" s="4">
        <v>-5.1949103247337378</v>
      </c>
      <c r="CK7" s="4" cm="1">
        <f t="array" ref="CK7">EXP(BY7)/SUM(EXP($BY$7:$CI$7))</f>
        <v>0.21154905365317198</v>
      </c>
      <c r="CL7" s="4" cm="1">
        <f t="array" ref="CL7">EXP(BZ7)/SUM(EXP($BY$7:$CI$7))</f>
        <v>0.24805466333194781</v>
      </c>
      <c r="CM7" s="4" cm="1">
        <f t="array" ref="CM7">EXP(CA7)/SUM(EXP($BY$7:$CI$7))</f>
        <v>0.3195237136754</v>
      </c>
      <c r="CN7" s="4" cm="1">
        <f t="array" ref="CN7">EXP(CB7)/SUM(EXP($BY$7:$CI$7))</f>
        <v>6.6297783952972547E-2</v>
      </c>
      <c r="CO7" s="4" cm="1">
        <f t="array" ref="CO7">EXP(CC7)/SUM(EXP($BY$7:$CI$7))</f>
        <v>0.12449746127136301</v>
      </c>
      <c r="CP7" s="4" cm="1">
        <f t="array" ref="CP7">EXP(CD7)/SUM(EXP($BY$7:$CI$7))</f>
        <v>7.0794744946006205E-4</v>
      </c>
      <c r="CQ7" s="4" cm="1">
        <f t="array" ref="CQ7">EXP(CE7)/SUM(EXP($BY$7:$CI$7))</f>
        <v>4.5148698724895289E-3</v>
      </c>
      <c r="CR7" s="4" cm="1">
        <f t="array" ref="CR7">EXP(CF7)/SUM(EXP($BY$7:$CI$7))</f>
        <v>1.0619257161654454E-2</v>
      </c>
      <c r="CS7" s="4" cm="1">
        <f t="array" ref="CS7">EXP(CG7)/SUM(EXP($BY$7:$CI$7))</f>
        <v>9.6156228416574511E-3</v>
      </c>
      <c r="CT7" s="4" cm="1">
        <f t="array" ref="CT7">EXP(CH7)/SUM(EXP($BY$7:$CI$7))</f>
        <v>4.4376815302423602E-3</v>
      </c>
      <c r="CU7" s="4" cm="1">
        <f t="array" ref="CU7">EXP(CI7)/SUM(EXP($BY$7:$CI$7))</f>
        <v>1.8194525964076519E-4</v>
      </c>
      <c r="CX7" s="4">
        <f t="shared" si="25"/>
        <v>1.4176665198583267</v>
      </c>
      <c r="CY7" s="4">
        <f t="shared" si="26"/>
        <v>0.71649932463547794</v>
      </c>
      <c r="CZ7" s="4">
        <f t="shared" si="27"/>
        <v>-0.27527322458062004</v>
      </c>
      <c r="DA7" s="4">
        <f t="shared" si="28"/>
        <v>1.6160924559784593</v>
      </c>
      <c r="DB7" s="4">
        <f t="shared" si="29"/>
        <v>0.59081284739208029</v>
      </c>
      <c r="DC7" s="4">
        <f t="shared" si="30"/>
        <v>3.8061753128195637</v>
      </c>
      <c r="DD7" s="4">
        <f t="shared" si="31"/>
        <v>-0.16011489533970147</v>
      </c>
      <c r="DE7" s="4">
        <f t="shared" si="32"/>
        <v>3.4241426484644206</v>
      </c>
      <c r="DF7" s="4">
        <f t="shared" si="33"/>
        <v>1.5015429407000915</v>
      </c>
      <c r="DG7" s="4">
        <f t="shared" si="34"/>
        <v>-2.372875708574242</v>
      </c>
      <c r="DJ7" s="5">
        <v>0.41190199999999999</v>
      </c>
      <c r="DK7" s="5">
        <v>0.65074299999999996</v>
      </c>
      <c r="DL7" s="5">
        <v>7.3005E-2</v>
      </c>
      <c r="DM7" s="5">
        <v>-0.162604</v>
      </c>
      <c r="DN7" s="5">
        <v>-0.132581</v>
      </c>
      <c r="DO7" s="5">
        <v>0.26212299999999999</v>
      </c>
      <c r="DP7" s="5">
        <v>-0.13660800000000001</v>
      </c>
      <c r="DQ7" s="5">
        <v>0.60295699999999997</v>
      </c>
      <c r="DR7" s="5">
        <v>0.160854</v>
      </c>
      <c r="DS7" s="5">
        <v>-0.93049599999999999</v>
      </c>
      <c r="DU7" s="4">
        <v>1.1585234467595875</v>
      </c>
      <c r="DV7" s="4">
        <v>-0.82082297252084568</v>
      </c>
      <c r="DW7" s="4">
        <v>4.6256590473694734</v>
      </c>
      <c r="DX7" s="4">
        <v>1.7389860598572981</v>
      </c>
      <c r="DY7" s="4">
        <v>0.37442299041107852</v>
      </c>
      <c r="DZ7" s="4">
        <v>6.2226370068252308</v>
      </c>
      <c r="EA7" s="4">
        <v>0.70548700721036139</v>
      </c>
      <c r="EB7" s="4">
        <v>4.8009794589920753</v>
      </c>
      <c r="EC7" s="4">
        <v>-3.3555090313069895</v>
      </c>
      <c r="ED7" s="4">
        <v>6.6128973492845624</v>
      </c>
      <c r="EF7" s="4">
        <f>DU$7+DJ$13</f>
        <v>1.5699924467595876</v>
      </c>
      <c r="EG7" s="4">
        <f t="shared" ref="EG7:EO7" si="39">DV$7+DK$13</f>
        <v>-0.92705497252084568</v>
      </c>
      <c r="EH7" s="4">
        <f t="shared" si="39"/>
        <v>4.9585010473694737</v>
      </c>
      <c r="EI7" s="4">
        <f t="shared" si="39"/>
        <v>1.9345140598572981</v>
      </c>
      <c r="EJ7" s="4">
        <f t="shared" si="39"/>
        <v>0.24200699041107851</v>
      </c>
      <c r="EK7" s="4">
        <f t="shared" si="39"/>
        <v>6.3348070068252307</v>
      </c>
      <c r="EL7" s="4">
        <f t="shared" si="39"/>
        <v>0.35586600721036138</v>
      </c>
      <c r="EM7" s="4">
        <f t="shared" si="39"/>
        <v>5.2260834589920755</v>
      </c>
      <c r="EN7" s="4">
        <f t="shared" si="39"/>
        <v>-3.2363500313069897</v>
      </c>
      <c r="EO7" s="4">
        <f t="shared" si="39"/>
        <v>6.8036873492845622</v>
      </c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</row>
    <row r="8" spans="1:156" ht="18" customHeight="1">
      <c r="A8" s="2">
        <f t="shared" si="14"/>
        <v>7</v>
      </c>
      <c r="B8" s="9" t="s">
        <v>876</v>
      </c>
      <c r="C8" s="9"/>
      <c r="D8" s="9"/>
      <c r="E8" s="9"/>
      <c r="F8" s="9"/>
      <c r="G8" s="9"/>
      <c r="I8" s="15" t="s">
        <v>30</v>
      </c>
      <c r="J8" s="15">
        <v>6</v>
      </c>
      <c r="K8" s="4">
        <v>0.116329</v>
      </c>
      <c r="L8" s="4">
        <v>-1.148388</v>
      </c>
      <c r="M8" s="4">
        <v>-1.5014179999999999</v>
      </c>
      <c r="N8" s="4">
        <v>0.98400600000000005</v>
      </c>
      <c r="O8" s="4">
        <v>0.61527200000000004</v>
      </c>
      <c r="P8" s="4">
        <v>0.64281299999999997</v>
      </c>
      <c r="Q8" s="4">
        <v>0.45933400000000002</v>
      </c>
      <c r="R8" s="4">
        <v>-0.18193400000000001</v>
      </c>
      <c r="S8" s="4">
        <v>-0.22789499999999999</v>
      </c>
      <c r="T8" s="4">
        <v>-0.79030400000000001</v>
      </c>
      <c r="V8" s="1" t="s">
        <v>1242</v>
      </c>
      <c r="X8" s="8">
        <f t="shared" si="0"/>
        <v>461</v>
      </c>
      <c r="Z8" s="4">
        <f t="shared" si="1"/>
        <v>-0.506409</v>
      </c>
      <c r="AA8" s="4">
        <f t="shared" si="2"/>
        <v>1.7775240000000001</v>
      </c>
      <c r="AB8" s="4">
        <f t="shared" si="3"/>
        <v>0.52038499999999999</v>
      </c>
      <c r="AC8" s="4">
        <f t="shared" si="4"/>
        <v>-0.40858800000000001</v>
      </c>
      <c r="AD8" s="4">
        <f t="shared" si="5"/>
        <v>1.6952039999999999</v>
      </c>
      <c r="AE8" s="4">
        <f t="shared" si="6"/>
        <v>-0.71366799999999997</v>
      </c>
      <c r="AF8" s="4">
        <f t="shared" si="7"/>
        <v>2.67448</v>
      </c>
      <c r="AG8" s="4">
        <f t="shared" si="8"/>
        <v>1.9189999999999999E-3</v>
      </c>
      <c r="AH8" s="4">
        <f t="shared" si="9"/>
        <v>1.9203079999999999</v>
      </c>
      <c r="AI8" s="4">
        <f t="shared" si="10"/>
        <v>-2.2113109999999998</v>
      </c>
      <c r="AK8" s="4">
        <v>0.53920599999999996</v>
      </c>
      <c r="AL8" s="4">
        <v>0.69652899999999995</v>
      </c>
      <c r="AM8" s="4">
        <v>0.500444</v>
      </c>
      <c r="AN8" s="4">
        <v>-1.420115</v>
      </c>
      <c r="AO8" s="4">
        <v>2.0035069999999999</v>
      </c>
      <c r="AP8" s="4">
        <v>0.49691200000000002</v>
      </c>
      <c r="AQ8" s="4">
        <v>-1.1633929999999999</v>
      </c>
      <c r="AR8" s="4">
        <v>0.37058999999999997</v>
      </c>
      <c r="AS8" s="4">
        <v>-0.31443399999999999</v>
      </c>
      <c r="AT8" s="4">
        <v>6.6168000000000005E-2</v>
      </c>
      <c r="AV8" s="4">
        <f t="shared" ref="AV8:AV10" si="40">Z8+AK8</f>
        <v>3.2796999999999965E-2</v>
      </c>
      <c r="AW8" s="4">
        <f t="shared" ref="AW8:AW11" si="41">AA8+AL8</f>
        <v>2.4740530000000001</v>
      </c>
      <c r="AX8" s="4">
        <f t="shared" ref="AX8:AX11" si="42">AB8+AM8</f>
        <v>1.020829</v>
      </c>
      <c r="AY8" s="4">
        <f t="shared" ref="AY8:AY11" si="43">AC8+AN8</f>
        <v>-1.828703</v>
      </c>
      <c r="AZ8" s="4">
        <f t="shared" ref="AZ8:AZ11" si="44">AD8+AO8</f>
        <v>3.6987109999999999</v>
      </c>
      <c r="BA8" s="4">
        <f t="shared" ref="BA8:BA11" si="45">AE8+AP8</f>
        <v>-0.21675599999999995</v>
      </c>
      <c r="BB8" s="4">
        <f t="shared" ref="BB8:BB11" si="46">AF8+AQ8</f>
        <v>1.5110870000000001</v>
      </c>
      <c r="BC8" s="4">
        <f t="shared" ref="BC8:BC11" si="47">AG8+AR8</f>
        <v>0.37250899999999998</v>
      </c>
      <c r="BD8" s="4">
        <f t="shared" ref="BD8:BD11" si="48">AH8+AS8</f>
        <v>1.605874</v>
      </c>
      <c r="BE8" s="4">
        <f t="shared" ref="BE8:BE11" si="49">AI8+AT8</f>
        <v>-2.145143</v>
      </c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4">
        <v>-0.45365011340399974</v>
      </c>
      <c r="BT8" s="4">
        <v>-0.72349298584800004</v>
      </c>
      <c r="BU8" s="4">
        <v>0.10116136285099997</v>
      </c>
      <c r="BV8" s="4">
        <v>-0.43671612977100005</v>
      </c>
      <c r="BW8" s="4">
        <v>-0.97012407938299994</v>
      </c>
      <c r="BX8" s="4"/>
      <c r="BY8" s="4">
        <v>-0.31270272714438202</v>
      </c>
      <c r="BZ8" s="4">
        <v>0.127426877017109</v>
      </c>
      <c r="CA8" s="4">
        <v>3.6602926697704201E-2</v>
      </c>
      <c r="CB8" s="4">
        <v>-0.83017576313980335</v>
      </c>
      <c r="CC8" s="4">
        <v>-0.35500343150444408</v>
      </c>
      <c r="CD8" s="4">
        <v>0.24526506905403805</v>
      </c>
      <c r="CE8" s="4">
        <v>0.27693796407674631</v>
      </c>
      <c r="CF8" s="4">
        <v>0.36462490797899899</v>
      </c>
      <c r="CG8" s="4">
        <v>-0.27854575397365006</v>
      </c>
      <c r="CH8" s="4">
        <v>0.48961723455316497</v>
      </c>
      <c r="CI8" s="4">
        <v>-0.453745122081608</v>
      </c>
      <c r="CK8" s="4" cm="1">
        <f t="array" ref="CK8">EXP(BY8)/SUM(EXP($BY$8:$CI$8))</f>
        <v>6.5882335293668007E-2</v>
      </c>
      <c r="CL8" s="4" cm="1">
        <f t="array" ref="CL8">EXP(BZ8)/SUM(EXP($BY$8:$CI$8))</f>
        <v>0.1023092364264431</v>
      </c>
      <c r="CM8" s="4" cm="1">
        <f t="array" ref="CM8">EXP(CA8)/SUM(EXP($BY$8:$CI$8))</f>
        <v>9.3426591119725483E-2</v>
      </c>
      <c r="CN8" s="4" cm="1">
        <f t="array" ref="CN8">EXP(CB8)/SUM(EXP($BY$8:$CI$8))</f>
        <v>3.9267504383763037E-2</v>
      </c>
      <c r="CO8" s="4" cm="1">
        <f t="array" ref="CO8">EXP(CC8)/SUM(EXP($BY$8:$CI$8))</f>
        <v>6.3153586972128056E-2</v>
      </c>
      <c r="CP8" s="4" cm="1">
        <f t="array" ref="CP8">EXP(CD8)/SUM(EXP($BY$8:$CI$8))</f>
        <v>0.1151042395379035</v>
      </c>
      <c r="CQ8" s="4" cm="1">
        <f t="array" ref="CQ8">EXP(CE8)/SUM(EXP($BY$8:$CI$8))</f>
        <v>0.11880827312343974</v>
      </c>
      <c r="CR8" s="4" cm="1">
        <f t="array" ref="CR8">EXP(CF8)/SUM(EXP($BY$8:$CI$8))</f>
        <v>0.12969661437742552</v>
      </c>
      <c r="CS8" s="4" cm="1">
        <f t="array" ref="CS8">EXP(CG8)/SUM(EXP($BY$8:$CI$8))</f>
        <v>6.8171550214671237E-2</v>
      </c>
      <c r="CT8" s="4" cm="1">
        <f t="array" ref="CT8">EXP(CH8)/SUM(EXP($BY$8:$CI$8))</f>
        <v>0.14696439022510904</v>
      </c>
      <c r="CU8" s="4" cm="1">
        <f t="array" ref="CU8">EXP(CI8)/SUM(EXP($BY$8:$CI$8))</f>
        <v>5.7215678325723267E-2</v>
      </c>
      <c r="CX8" s="4">
        <f t="shared" si="25"/>
        <v>0.55923677596907173</v>
      </c>
      <c r="CY8" s="4">
        <f t="shared" si="26"/>
        <v>0.26829893041613051</v>
      </c>
      <c r="CZ8" s="4">
        <f t="shared" si="27"/>
        <v>-0.49216639945169105</v>
      </c>
      <c r="DA8" s="4">
        <f t="shared" si="28"/>
        <v>0.66600782909120015</v>
      </c>
      <c r="DB8" s="4">
        <f t="shared" si="29"/>
        <v>0.1287242348517233</v>
      </c>
      <c r="DC8" s="4">
        <f t="shared" si="30"/>
        <v>0.96579442854062192</v>
      </c>
      <c r="DD8" s="4">
        <f t="shared" si="31"/>
        <v>-0.50943984819790011</v>
      </c>
      <c r="DE8" s="4">
        <f t="shared" si="32"/>
        <v>0.36734826407299415</v>
      </c>
      <c r="DF8" s="4">
        <f t="shared" si="33"/>
        <v>0.19915520277502102</v>
      </c>
      <c r="DG8" s="4">
        <f t="shared" si="34"/>
        <v>0.5006557068531402</v>
      </c>
      <c r="DJ8" s="5">
        <v>0.41897600000000002</v>
      </c>
      <c r="DK8" s="5">
        <v>-0.250164</v>
      </c>
      <c r="DL8" s="5">
        <v>-0.580291</v>
      </c>
      <c r="DM8" s="5">
        <v>0.76955300000000004</v>
      </c>
      <c r="DN8" s="5">
        <v>0.19576199999999999</v>
      </c>
      <c r="DO8" s="5">
        <v>0.23369200000000001</v>
      </c>
      <c r="DP8" s="5">
        <v>-0.60668200000000005</v>
      </c>
      <c r="DQ8" s="5">
        <v>-0.15908</v>
      </c>
      <c r="DR8" s="5">
        <v>0.387438</v>
      </c>
      <c r="DS8" s="5">
        <v>0.94904200000000005</v>
      </c>
      <c r="DU8" s="4">
        <v>1.7684476164963088</v>
      </c>
      <c r="DV8" s="4">
        <v>-1.3873984942489253</v>
      </c>
      <c r="DW8" s="4">
        <v>1.9072564384262849</v>
      </c>
      <c r="DX8" s="4">
        <v>0.61195479479783554</v>
      </c>
      <c r="DY8" s="4">
        <v>0.82540177644595336</v>
      </c>
      <c r="DZ8" s="4">
        <v>0.35407434197539034</v>
      </c>
      <c r="EA8" s="4">
        <v>2.0191476650139295</v>
      </c>
      <c r="EB8" s="4">
        <v>-7.5723177950844517E-2</v>
      </c>
      <c r="EC8" s="4">
        <v>-1.1477366738277579</v>
      </c>
      <c r="ED8" s="4">
        <v>0.38978210134173646</v>
      </c>
      <c r="EF8" s="4">
        <f>DU$8+DJ$13</f>
        <v>2.1799166164963086</v>
      </c>
      <c r="EG8" s="4">
        <f t="shared" ref="EG8:EO8" si="50">DV$8+DK$13</f>
        <v>-1.4936304942489254</v>
      </c>
      <c r="EH8" s="4">
        <f t="shared" si="50"/>
        <v>2.2400984384262848</v>
      </c>
      <c r="EI8" s="4">
        <f t="shared" si="50"/>
        <v>0.80748279479783558</v>
      </c>
      <c r="EJ8" s="4">
        <f t="shared" si="50"/>
        <v>0.69298577644595338</v>
      </c>
      <c r="EK8" s="4">
        <f t="shared" si="50"/>
        <v>0.46624434197539033</v>
      </c>
      <c r="EL8" s="4">
        <f t="shared" si="50"/>
        <v>1.6695266650139295</v>
      </c>
      <c r="EM8" s="4">
        <f t="shared" si="50"/>
        <v>0.34938082204915544</v>
      </c>
      <c r="EN8" s="4">
        <f t="shared" si="50"/>
        <v>-1.0285776738277579</v>
      </c>
      <c r="EO8" s="4">
        <f t="shared" si="50"/>
        <v>0.58057210134173642</v>
      </c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</row>
    <row r="9" spans="1:156" ht="16.5" customHeight="1">
      <c r="A9" s="2">
        <f t="shared" si="14"/>
        <v>8</v>
      </c>
      <c r="B9" s="9" t="s">
        <v>877</v>
      </c>
      <c r="C9" s="9"/>
      <c r="D9" s="9"/>
      <c r="E9" s="9"/>
      <c r="F9" s="9"/>
      <c r="G9" s="9"/>
      <c r="I9" s="15" t="s">
        <v>31</v>
      </c>
      <c r="J9" s="15">
        <v>7</v>
      </c>
      <c r="K9" s="4">
        <v>3.9137999999999999E-2</v>
      </c>
      <c r="L9" s="4">
        <v>1.0988329999999999</v>
      </c>
      <c r="M9" s="4">
        <v>-0.20521300000000001</v>
      </c>
      <c r="N9" s="4">
        <v>-0.27185300000000001</v>
      </c>
      <c r="O9" s="4">
        <v>-2.2225190000000001</v>
      </c>
      <c r="P9" s="4">
        <v>0.41841</v>
      </c>
      <c r="Q9" s="4">
        <v>0.76046499999999995</v>
      </c>
      <c r="R9" s="4">
        <v>0.37878200000000001</v>
      </c>
      <c r="S9" s="4">
        <v>-1.106919</v>
      </c>
      <c r="T9" s="4">
        <v>1.139548</v>
      </c>
      <c r="V9" s="1" t="s">
        <v>1226</v>
      </c>
      <c r="X9" s="8">
        <f t="shared" si="0"/>
        <v>549</v>
      </c>
      <c r="Z9" s="4">
        <f t="shared" si="1"/>
        <v>-0.73613700000000004</v>
      </c>
      <c r="AA9" s="4">
        <f t="shared" si="2"/>
        <v>-0.41414400000000001</v>
      </c>
      <c r="AB9" s="4">
        <f t="shared" si="3"/>
        <v>-0.176012</v>
      </c>
      <c r="AC9" s="4">
        <f t="shared" si="4"/>
        <v>-0.74713399999999996</v>
      </c>
      <c r="AD9" s="4">
        <f t="shared" si="5"/>
        <v>0.68843699999999997</v>
      </c>
      <c r="AE9" s="4">
        <f t="shared" si="6"/>
        <v>8.4802000000000002E-2</v>
      </c>
      <c r="AF9" s="4">
        <f t="shared" si="7"/>
        <v>0.90259100000000003</v>
      </c>
      <c r="AG9" s="4">
        <f t="shared" si="8"/>
        <v>0.46993800000000002</v>
      </c>
      <c r="AH9" s="4">
        <f t="shared" si="9"/>
        <v>-0.16898199999999999</v>
      </c>
      <c r="AI9" s="4">
        <f t="shared" si="10"/>
        <v>-0.91180399999999995</v>
      </c>
      <c r="AK9" s="4">
        <v>-1.3454889999999999</v>
      </c>
      <c r="AL9" s="4">
        <v>1.0900099999999999</v>
      </c>
      <c r="AM9" s="4">
        <v>-0.57791499999999996</v>
      </c>
      <c r="AN9" s="4">
        <v>0.57443</v>
      </c>
      <c r="AO9" s="4">
        <v>-0.81437000000000004</v>
      </c>
      <c r="AP9" s="4">
        <v>0.33604600000000001</v>
      </c>
      <c r="AQ9" s="4">
        <v>-0.137491</v>
      </c>
      <c r="AR9" s="4">
        <v>-1.452528</v>
      </c>
      <c r="AS9" s="4">
        <v>-0.33151900000000001</v>
      </c>
      <c r="AT9" s="4">
        <v>-0.84343199999999996</v>
      </c>
      <c r="AV9" s="4">
        <f t="shared" si="40"/>
        <v>-2.081626</v>
      </c>
      <c r="AW9" s="4">
        <f t="shared" si="41"/>
        <v>0.67586599999999986</v>
      </c>
      <c r="AX9" s="4">
        <f t="shared" si="42"/>
        <v>-0.75392700000000001</v>
      </c>
      <c r="AY9" s="4">
        <f t="shared" si="43"/>
        <v>-0.17270399999999997</v>
      </c>
      <c r="AZ9" s="4">
        <f t="shared" si="44"/>
        <v>-0.12593300000000007</v>
      </c>
      <c r="BA9" s="4">
        <f t="shared" si="45"/>
        <v>0.420848</v>
      </c>
      <c r="BB9" s="4">
        <f t="shared" si="46"/>
        <v>0.7651</v>
      </c>
      <c r="BC9" s="4">
        <f t="shared" si="47"/>
        <v>-0.98259000000000007</v>
      </c>
      <c r="BD9" s="4">
        <f t="shared" si="48"/>
        <v>-0.50050099999999997</v>
      </c>
      <c r="BE9" s="4">
        <f t="shared" si="49"/>
        <v>-1.755236</v>
      </c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4">
        <v>-0.23040259489100001</v>
      </c>
      <c r="BT9" s="4">
        <v>-0.20697181331900011</v>
      </c>
      <c r="BU9" s="4">
        <v>0.63762459976599983</v>
      </c>
      <c r="BV9" s="4">
        <v>0.5364344176310003</v>
      </c>
      <c r="BW9" s="4">
        <v>-0.36562121721800006</v>
      </c>
      <c r="BX9" s="4"/>
      <c r="BY9" s="4">
        <v>-0.37812014302532893</v>
      </c>
      <c r="BZ9" s="4">
        <v>-0.28365091493409855</v>
      </c>
      <c r="CA9" s="4">
        <v>-0.18953700464661549</v>
      </c>
      <c r="CB9" s="4">
        <v>-0.30855103172601966</v>
      </c>
      <c r="CC9" s="4">
        <v>-0.25478200776764626</v>
      </c>
      <c r="CD9" s="4">
        <v>0.79201680188135082</v>
      </c>
      <c r="CE9" s="4">
        <v>0.3930105846740391</v>
      </c>
      <c r="CF9" s="4">
        <v>0.15069486415336206</v>
      </c>
      <c r="CG9" s="4">
        <v>2.0362635032905866E-2</v>
      </c>
      <c r="CH9" s="4">
        <v>0.30914655980488959</v>
      </c>
      <c r="CI9" s="4">
        <v>0.74290617470440468</v>
      </c>
      <c r="CK9" s="4" cm="1">
        <f t="array" ref="CK9">EXP(BY9)/SUM(EXP($BY$9:$CI$9))</f>
        <v>5.2253899753584146E-2</v>
      </c>
      <c r="CL9" s="4" cm="1">
        <f t="array" ref="CL9">EXP(BZ9)/SUM(EXP($BY$9:$CI$9))</f>
        <v>5.7430972740752026E-2</v>
      </c>
      <c r="CM9" s="4" cm="1">
        <f t="array" ref="CM9">EXP(CA9)/SUM(EXP($BY$9:$CI$9))</f>
        <v>6.3098541985560294E-2</v>
      </c>
      <c r="CN9" s="4" cm="1">
        <f t="array" ref="CN9">EXP(CB9)/SUM(EXP($BY$9:$CI$9))</f>
        <v>5.6018592008736538E-2</v>
      </c>
      <c r="CO9" s="4" cm="1">
        <f t="array" ref="CO9">EXP(CC9)/SUM(EXP($BY$9:$CI$9))</f>
        <v>5.9113106011432756E-2</v>
      </c>
      <c r="CP9" s="4" cm="1">
        <f t="array" ref="CP9">EXP(CD9)/SUM(EXP($BY$9:$CI$9))</f>
        <v>0.16838473819384872</v>
      </c>
      <c r="CQ9" s="4" cm="1">
        <f t="array" ref="CQ9">EXP(CE9)/SUM(EXP($BY$9:$CI$9))</f>
        <v>0.11298389113144926</v>
      </c>
      <c r="CR9" s="4" cm="1">
        <f t="array" ref="CR9">EXP(CF9)/SUM(EXP($BY$9:$CI$9))</f>
        <v>8.8670702116558156E-2</v>
      </c>
      <c r="CS9" s="4" cm="1">
        <f t="array" ref="CS9">EXP(CG9)/SUM(EXP($BY$9:$CI$9))</f>
        <v>7.7835474877641697E-2</v>
      </c>
      <c r="CT9" s="4" cm="1">
        <f t="array" ref="CT9">EXP(CH9)/SUM(EXP($BY$9:$CI$9))</f>
        <v>0.10389504712370407</v>
      </c>
      <c r="CU9" s="4" cm="1">
        <f t="array" ref="CU9">EXP(CI9)/SUM(EXP($BY$9:$CI$9))</f>
        <v>0.16031503405673242</v>
      </c>
      <c r="CX9" s="4">
        <f t="shared" si="25"/>
        <v>0.32442338723375092</v>
      </c>
      <c r="CY9" s="4">
        <f t="shared" si="26"/>
        <v>-4.7554606523145193E-2</v>
      </c>
      <c r="CZ9" s="4">
        <f t="shared" si="27"/>
        <v>-0.64602985542153069</v>
      </c>
      <c r="DA9" s="4">
        <f t="shared" si="28"/>
        <v>0.54013851111251465</v>
      </c>
      <c r="DB9" s="4">
        <f t="shared" si="29"/>
        <v>1.9765571054458739E-2</v>
      </c>
      <c r="DC9" s="4">
        <f t="shared" si="30"/>
        <v>-0.18624300653810097</v>
      </c>
      <c r="DD9" s="4">
        <f t="shared" si="31"/>
        <v>-0.25591756334606042</v>
      </c>
      <c r="DE9" s="4">
        <f t="shared" si="32"/>
        <v>-0.69243245689145294</v>
      </c>
      <c r="DF9" s="4">
        <f t="shared" si="33"/>
        <v>-1.1160276840824364</v>
      </c>
      <c r="DG9" s="4">
        <f t="shared" si="34"/>
        <v>1.5747743015753368</v>
      </c>
      <c r="DJ9" s="5">
        <v>-0.36680600000000002</v>
      </c>
      <c r="DK9" s="5">
        <v>0.25572899999999998</v>
      </c>
      <c r="DL9" s="5">
        <v>0.908528</v>
      </c>
      <c r="DM9" s="5">
        <v>4.6633000000000001E-2</v>
      </c>
      <c r="DN9" s="5">
        <v>0.38262099999999999</v>
      </c>
      <c r="DO9" s="5">
        <v>0.475609</v>
      </c>
      <c r="DP9" s="5">
        <v>8.0689999999999998E-2</v>
      </c>
      <c r="DQ9" s="5">
        <v>0.56364199999999998</v>
      </c>
      <c r="DR9" s="5">
        <v>0.17269699999999999</v>
      </c>
      <c r="DS9" s="5">
        <v>-0.46348699999999998</v>
      </c>
      <c r="DU9" s="4">
        <v>2.0909781190545309</v>
      </c>
      <c r="DV9" s="4">
        <v>-1.3077667795957622</v>
      </c>
      <c r="DW9" s="4">
        <v>0.14015694145869811</v>
      </c>
      <c r="DX9" s="4">
        <v>0.40994537772074252</v>
      </c>
      <c r="DY9" s="4">
        <v>0.92045416766301691</v>
      </c>
      <c r="DZ9" s="4">
        <v>-2.1111317081294425</v>
      </c>
      <c r="EA9" s="4">
        <v>2.2262665864456865</v>
      </c>
      <c r="EB9" s="4">
        <v>-2.1074816505069132</v>
      </c>
      <c r="EC9" s="4">
        <v>-0.5917411550774121</v>
      </c>
      <c r="ED9" s="4">
        <v>-1.9707369546306663</v>
      </c>
      <c r="EF9" s="4">
        <f>DU$9+DJ$13</f>
        <v>2.5024471190545308</v>
      </c>
      <c r="EG9" s="4">
        <f t="shared" ref="EG9:EO9" si="51">DV$9+DK$13</f>
        <v>-1.413998779595762</v>
      </c>
      <c r="EH9" s="4">
        <f t="shared" si="51"/>
        <v>0.47299894145869814</v>
      </c>
      <c r="EI9" s="4">
        <f t="shared" si="51"/>
        <v>0.6054733777207425</v>
      </c>
      <c r="EJ9" s="4">
        <f t="shared" si="51"/>
        <v>0.78803816766301693</v>
      </c>
      <c r="EK9" s="4">
        <f t="shared" si="51"/>
        <v>-1.9989617081294424</v>
      </c>
      <c r="EL9" s="4">
        <f t="shared" si="51"/>
        <v>1.8766455864456866</v>
      </c>
      <c r="EM9" s="4">
        <f t="shared" si="51"/>
        <v>-1.6823776505069132</v>
      </c>
      <c r="EN9" s="4">
        <f t="shared" si="51"/>
        <v>-0.47258215507741208</v>
      </c>
      <c r="EO9" s="4">
        <f t="shared" si="51"/>
        <v>-1.7799469546306663</v>
      </c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</row>
    <row r="10" spans="1:156" ht="16.5" customHeight="1">
      <c r="A10" s="2">
        <f t="shared" si="14"/>
        <v>9</v>
      </c>
      <c r="B10" s="9" t="s">
        <v>878</v>
      </c>
      <c r="C10" s="9"/>
      <c r="D10" s="9"/>
      <c r="E10" s="9"/>
      <c r="F10" s="9"/>
      <c r="G10" s="9"/>
      <c r="I10" s="15" t="s">
        <v>32</v>
      </c>
      <c r="J10" s="15">
        <v>8</v>
      </c>
      <c r="K10" s="4">
        <v>-0.269237</v>
      </c>
      <c r="L10" s="4">
        <v>-0.71256399999999998</v>
      </c>
      <c r="M10" s="4">
        <v>-0.20491999999999999</v>
      </c>
      <c r="N10" s="4">
        <v>-0.95563299999999995</v>
      </c>
      <c r="O10" s="4">
        <v>0.139238</v>
      </c>
      <c r="P10" s="4">
        <v>0.56369499999999995</v>
      </c>
      <c r="Q10" s="4">
        <v>-0.84906199999999998</v>
      </c>
      <c r="R10" s="4">
        <v>-0.29561199999999999</v>
      </c>
      <c r="S10" s="4">
        <v>0.82526500000000003</v>
      </c>
      <c r="T10" s="4">
        <v>-1.2771520000000001</v>
      </c>
      <c r="V10" s="1" t="s">
        <v>1220</v>
      </c>
      <c r="X10" s="8">
        <f t="shared" si="0"/>
        <v>163</v>
      </c>
      <c r="Z10" s="4">
        <f t="shared" si="1"/>
        <v>-1.7859640000000001</v>
      </c>
      <c r="AA10" s="4">
        <f t="shared" si="2"/>
        <v>-5.3893000000000003E-2</v>
      </c>
      <c r="AB10" s="4">
        <f t="shared" si="3"/>
        <v>1.011388</v>
      </c>
      <c r="AC10" s="4">
        <f t="shared" si="4"/>
        <v>0.79874299999999998</v>
      </c>
      <c r="AD10" s="4">
        <f t="shared" si="5"/>
        <v>0.19404099999999999</v>
      </c>
      <c r="AE10" s="4">
        <f t="shared" si="6"/>
        <v>-1.002993</v>
      </c>
      <c r="AF10" s="4">
        <f t="shared" si="7"/>
        <v>-0.28835100000000002</v>
      </c>
      <c r="AG10" s="4">
        <f t="shared" si="8"/>
        <v>-1.872463</v>
      </c>
      <c r="AH10" s="4">
        <f t="shared" si="9"/>
        <v>-1.442372</v>
      </c>
      <c r="AI10" s="4">
        <f t="shared" si="10"/>
        <v>0.722858</v>
      </c>
      <c r="AK10" s="4">
        <v>-0.44943899999999998</v>
      </c>
      <c r="AL10" s="4">
        <v>-1.4091480000000001</v>
      </c>
      <c r="AM10" s="4">
        <v>-0.86761100000000002</v>
      </c>
      <c r="AN10" s="4">
        <v>0.390289</v>
      </c>
      <c r="AO10" s="4">
        <v>-7.7929999999999996E-3</v>
      </c>
      <c r="AP10" s="4">
        <v>1.2928090000000001</v>
      </c>
      <c r="AQ10" s="4">
        <v>0.152425</v>
      </c>
      <c r="AR10" s="4">
        <v>0.81745699999999999</v>
      </c>
      <c r="AS10" s="4">
        <v>0.61351299999999998</v>
      </c>
      <c r="AT10" s="4">
        <v>0.788296</v>
      </c>
      <c r="AV10" s="4">
        <f t="shared" si="40"/>
        <v>-2.2354030000000003</v>
      </c>
      <c r="AW10" s="4">
        <f t="shared" si="41"/>
        <v>-1.463041</v>
      </c>
      <c r="AX10" s="4">
        <f t="shared" si="42"/>
        <v>0.14377699999999993</v>
      </c>
      <c r="AY10" s="4">
        <f t="shared" si="43"/>
        <v>1.1890320000000001</v>
      </c>
      <c r="AZ10" s="4">
        <f t="shared" si="44"/>
        <v>0.186248</v>
      </c>
      <c r="BA10" s="4">
        <f t="shared" si="45"/>
        <v>0.28981600000000007</v>
      </c>
      <c r="BB10" s="4">
        <f t="shared" si="46"/>
        <v>-0.13592600000000002</v>
      </c>
      <c r="BC10" s="4">
        <f t="shared" si="47"/>
        <v>-1.0550060000000001</v>
      </c>
      <c r="BD10" s="4">
        <f t="shared" si="48"/>
        <v>-0.82885900000000001</v>
      </c>
      <c r="BE10" s="4">
        <f t="shared" si="49"/>
        <v>1.5111539999999999</v>
      </c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4">
        <v>1.0330527169299999</v>
      </c>
      <c r="BT10" s="4">
        <v>0.71007841751099976</v>
      </c>
      <c r="BU10" s="4">
        <v>-1.403729810587</v>
      </c>
      <c r="BV10" s="4">
        <v>-1.5495722275290005</v>
      </c>
      <c r="BW10" s="4">
        <v>-0.33328651425300004</v>
      </c>
      <c r="BX10" s="4"/>
      <c r="BY10" s="4">
        <v>1.0268442419802621</v>
      </c>
      <c r="BZ10" s="4">
        <v>1.3377938159006961</v>
      </c>
      <c r="CA10" s="4">
        <v>1.0672916508204311</v>
      </c>
      <c r="CB10" s="4">
        <v>0.35901572451592606</v>
      </c>
      <c r="CC10" s="4">
        <v>0.44213711272583905</v>
      </c>
      <c r="CD10" s="4">
        <v>-2.3153915691610831</v>
      </c>
      <c r="CE10" s="4">
        <v>-1.4712988365030282</v>
      </c>
      <c r="CF10" s="4">
        <v>-0.53817364933209222</v>
      </c>
      <c r="CG10" s="4">
        <v>-0.31294351135531534</v>
      </c>
      <c r="CH10" s="4">
        <v>-1.0668444449955317</v>
      </c>
      <c r="CI10" s="4">
        <v>-2.7259700454014921</v>
      </c>
      <c r="CK10" s="4" cm="1">
        <f t="array" ref="CK10">EXP(BY10)/SUM(EXP($BY$10:$CI$10))</f>
        <v>0.1918888124670321</v>
      </c>
      <c r="CL10" s="4" cm="1">
        <f t="array" ref="CL10">EXP(BZ10)/SUM(EXP($BY$10:$CI$10))</f>
        <v>0.26187457727999636</v>
      </c>
      <c r="CM10" s="4" cm="1">
        <f t="array" ref="CM10">EXP(CA10)/SUM(EXP($BY$10:$CI$10))</f>
        <v>0.19980931992335133</v>
      </c>
      <c r="CN10" s="4" cm="1">
        <f t="array" ref="CN10">EXP(CB10)/SUM(EXP($BY$10:$CI$10))</f>
        <v>9.8404603360716852E-2</v>
      </c>
      <c r="CO10" s="4" cm="1">
        <f t="array" ref="CO10">EXP(CC10)/SUM(EXP($BY$10:$CI$10))</f>
        <v>0.10693369540708282</v>
      </c>
      <c r="CP10" s="4" cm="1">
        <f t="array" ref="CP10">EXP(CD10)/SUM(EXP($BY$10:$CI$10))</f>
        <v>6.7847693011746178E-3</v>
      </c>
      <c r="CQ10" s="4" cm="1">
        <f t="array" ref="CQ10">EXP(CE10)/SUM(EXP($BY$10:$CI$10))</f>
        <v>1.5780468809435285E-2</v>
      </c>
      <c r="CR10" s="4" cm="1">
        <f t="array" ref="CR10">EXP(CF10)/SUM(EXP($BY$10:$CI$10))</f>
        <v>4.0120932726351699E-2</v>
      </c>
      <c r="CS10" s="4" cm="1">
        <f t="array" ref="CS10">EXP(CG10)/SUM(EXP($BY$10:$CI$10))</f>
        <v>5.0255919912983324E-2</v>
      </c>
      <c r="CT10" s="4" cm="1">
        <f t="array" ref="CT10">EXP(CH10)/SUM(EXP($BY$10:$CI$10))</f>
        <v>2.3646790927772932E-2</v>
      </c>
      <c r="CU10" s="4" cm="1">
        <f t="array" ref="CU10">EXP(CI10)/SUM(EXP($BY$10:$CI$10))</f>
        <v>4.5001098841027671E-3</v>
      </c>
      <c r="CX10" s="4">
        <f t="shared" si="25"/>
        <v>1.1029222673943491</v>
      </c>
      <c r="CY10" s="4">
        <f t="shared" si="26"/>
        <v>0.6979837131919262</v>
      </c>
      <c r="CZ10" s="4">
        <f t="shared" si="27"/>
        <v>-6.4897387405592893E-2</v>
      </c>
      <c r="DA10" s="4">
        <f t="shared" si="28"/>
        <v>1.5027045473824217</v>
      </c>
      <c r="DB10" s="4">
        <f t="shared" si="29"/>
        <v>0.82023800341317299</v>
      </c>
      <c r="DC10" s="4">
        <f t="shared" si="30"/>
        <v>2.7554693502623326</v>
      </c>
      <c r="DD10" s="4">
        <f t="shared" si="31"/>
        <v>-0.43455737080499657</v>
      </c>
      <c r="DE10" s="4">
        <f t="shared" si="32"/>
        <v>2.1288339090563482</v>
      </c>
      <c r="DF10" s="4">
        <f t="shared" si="33"/>
        <v>1.1642059743490072</v>
      </c>
      <c r="DG10" s="4">
        <f t="shared" si="34"/>
        <v>-1.1647085145539351</v>
      </c>
      <c r="DJ10" s="5">
        <v>0.204848</v>
      </c>
      <c r="DK10" s="5">
        <v>8.8812000000000002E-2</v>
      </c>
      <c r="DL10" s="5">
        <v>-0.211616</v>
      </c>
      <c r="DM10" s="5">
        <v>-0.632498</v>
      </c>
      <c r="DN10" s="5">
        <v>-0.44423000000000001</v>
      </c>
      <c r="DO10" s="5">
        <v>-0.45771499999999998</v>
      </c>
      <c r="DP10" s="5">
        <v>0.34525400000000001</v>
      </c>
      <c r="DQ10" s="5">
        <v>-0.54235699999999998</v>
      </c>
      <c r="DR10" s="5">
        <v>0.29553000000000001</v>
      </c>
      <c r="DS10" s="5">
        <v>-0.30663699999999999</v>
      </c>
      <c r="DU10" s="4">
        <v>1.6415773703991992</v>
      </c>
      <c r="DV10" s="4">
        <v>-0.94596727085484378</v>
      </c>
      <c r="DW10" s="4">
        <v>3.9752342324766023</v>
      </c>
      <c r="DX10" s="4">
        <v>1.8173164752299673</v>
      </c>
      <c r="DY10" s="4">
        <v>0.97882532249756793</v>
      </c>
      <c r="DZ10" s="4">
        <v>3.8869273394062267</v>
      </c>
      <c r="EA10" s="4">
        <v>1.5567438728918759</v>
      </c>
      <c r="EB10" s="4">
        <v>3.3151349090184246</v>
      </c>
      <c r="EC10" s="4">
        <v>-2.8778176535587683</v>
      </c>
      <c r="ED10" s="4">
        <v>4.501725073495634</v>
      </c>
      <c r="EF10" s="4">
        <f>DU$10+DJ$13</f>
        <v>2.053046370399199</v>
      </c>
      <c r="EG10" s="4">
        <f t="shared" ref="EG10:EO10" si="52">DV$10+DK$13</f>
        <v>-1.0521992708548438</v>
      </c>
      <c r="EH10" s="4">
        <f t="shared" si="52"/>
        <v>4.3080762324766022</v>
      </c>
      <c r="EI10" s="4">
        <f t="shared" si="52"/>
        <v>2.0128444752299672</v>
      </c>
      <c r="EJ10" s="4">
        <f t="shared" si="52"/>
        <v>0.84640932249756795</v>
      </c>
      <c r="EK10" s="4">
        <f t="shared" si="52"/>
        <v>3.9990973394062266</v>
      </c>
      <c r="EL10" s="4">
        <f t="shared" si="52"/>
        <v>1.2071228728918759</v>
      </c>
      <c r="EM10" s="4">
        <f t="shared" si="52"/>
        <v>3.7402389090184247</v>
      </c>
      <c r="EN10" s="4">
        <f t="shared" si="52"/>
        <v>-2.7586586535587685</v>
      </c>
      <c r="EO10" s="4">
        <f t="shared" si="52"/>
        <v>4.6925150734956338</v>
      </c>
    </row>
    <row r="11" spans="1:156" ht="19.5" customHeight="1">
      <c r="A11" s="2">
        <f t="shared" si="14"/>
        <v>10</v>
      </c>
      <c r="B11" s="9" t="s">
        <v>879</v>
      </c>
      <c r="C11" s="9"/>
      <c r="D11" s="9"/>
      <c r="E11" s="9"/>
      <c r="F11" s="9"/>
      <c r="G11" s="9"/>
      <c r="I11" s="15" t="s">
        <v>33</v>
      </c>
      <c r="J11" s="15">
        <v>9</v>
      </c>
      <c r="K11" s="4">
        <v>-0.418655</v>
      </c>
      <c r="L11" s="4">
        <v>-0.65595300000000001</v>
      </c>
      <c r="M11" s="4">
        <v>0.13090199999999999</v>
      </c>
      <c r="N11" s="4">
        <v>2.9843860000000002</v>
      </c>
      <c r="O11" s="4">
        <v>-1.7995540000000001</v>
      </c>
      <c r="P11" s="4">
        <v>0.30452699999999999</v>
      </c>
      <c r="Q11" s="4">
        <v>0.35766300000000001</v>
      </c>
      <c r="R11" s="4">
        <v>1.2825200000000001</v>
      </c>
      <c r="S11" s="4">
        <v>-0.73926400000000003</v>
      </c>
      <c r="T11" s="4">
        <v>0.29103200000000001</v>
      </c>
      <c r="V11" s="1" t="s">
        <v>1221</v>
      </c>
      <c r="X11" s="8">
        <f t="shared" si="0"/>
        <v>40</v>
      </c>
      <c r="Z11" s="4">
        <f t="shared" si="1"/>
        <v>-1.5671090000000001</v>
      </c>
      <c r="AA11" s="4">
        <f t="shared" si="2"/>
        <v>-0.695967</v>
      </c>
      <c r="AB11" s="4">
        <f t="shared" si="3"/>
        <v>-1.1226689999999999</v>
      </c>
      <c r="AC11" s="4">
        <f t="shared" si="4"/>
        <v>1.135062</v>
      </c>
      <c r="AD11" s="4">
        <f t="shared" si="5"/>
        <v>-0.99254699999999996</v>
      </c>
      <c r="AE11" s="4">
        <f t="shared" si="6"/>
        <v>-1.0301629999999999</v>
      </c>
      <c r="AF11" s="4">
        <f t="shared" si="7"/>
        <v>-0.90520900000000004</v>
      </c>
      <c r="AG11" s="4">
        <f t="shared" si="8"/>
        <v>8.6083999999999994E-2</v>
      </c>
      <c r="AH11" s="4">
        <f t="shared" si="9"/>
        <v>1.4396000000000001E-2</v>
      </c>
      <c r="AI11" s="4">
        <f t="shared" si="10"/>
        <v>-1.5715E-2</v>
      </c>
      <c r="AK11" s="4">
        <v>-2.6008239999999998</v>
      </c>
      <c r="AL11" s="4">
        <v>0.71938999999999997</v>
      </c>
      <c r="AM11" s="4">
        <v>-2.2053E-2</v>
      </c>
      <c r="AN11" s="4">
        <v>0.61406400000000005</v>
      </c>
      <c r="AO11" s="4">
        <v>-0.44839899999999999</v>
      </c>
      <c r="AP11" s="4">
        <v>0.33485599999999999</v>
      </c>
      <c r="AQ11" s="4">
        <v>-0.61616199999999999</v>
      </c>
      <c r="AR11" s="4">
        <v>-0.56422099999999997</v>
      </c>
      <c r="AS11" s="4">
        <v>1.810446</v>
      </c>
      <c r="AT11" s="4">
        <v>-1.989698</v>
      </c>
      <c r="AV11" s="4">
        <f>Z11+AK11</f>
        <v>-4.1679329999999997</v>
      </c>
      <c r="AW11" s="4">
        <f t="shared" si="41"/>
        <v>2.3422999999999972E-2</v>
      </c>
      <c r="AX11" s="4">
        <f t="shared" si="42"/>
        <v>-1.144722</v>
      </c>
      <c r="AY11" s="4">
        <f t="shared" si="43"/>
        <v>1.749126</v>
      </c>
      <c r="AZ11" s="4">
        <f t="shared" si="44"/>
        <v>-1.4409459999999998</v>
      </c>
      <c r="BA11" s="4">
        <f t="shared" si="45"/>
        <v>-0.6953069999999999</v>
      </c>
      <c r="BB11" s="4">
        <f t="shared" si="46"/>
        <v>-1.521371</v>
      </c>
      <c r="BC11" s="4">
        <f t="shared" si="47"/>
        <v>-0.47813699999999998</v>
      </c>
      <c r="BD11" s="4">
        <f t="shared" si="48"/>
        <v>1.8248420000000001</v>
      </c>
      <c r="BE11" s="4">
        <f t="shared" si="49"/>
        <v>-2.0054129999999999</v>
      </c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4">
        <v>-2.1798637054369996</v>
      </c>
      <c r="BT11" s="4">
        <v>-2.1623879798379999</v>
      </c>
      <c r="BU11" s="4">
        <v>2.8763700922009998</v>
      </c>
      <c r="BV11" s="4">
        <v>0.48791134677099973</v>
      </c>
      <c r="BW11" s="4">
        <v>-2.8224498408999932E-2</v>
      </c>
      <c r="BX11" s="4"/>
      <c r="BY11" s="4">
        <v>-0.92389171116478641</v>
      </c>
      <c r="BZ11" s="4">
        <v>-2.045369091598134</v>
      </c>
      <c r="CA11" s="4">
        <v>-1.3916771111813655</v>
      </c>
      <c r="CB11" s="4">
        <v>-1.1422350275598925</v>
      </c>
      <c r="CC11" s="4">
        <v>-1.22343085313387</v>
      </c>
      <c r="CD11" s="4">
        <v>2.9914394222778382</v>
      </c>
      <c r="CE11" s="4">
        <v>3.0533646862199384</v>
      </c>
      <c r="CF11" s="4">
        <v>1.7007542784619292</v>
      </c>
      <c r="CG11" s="4">
        <v>0.29666135419764911</v>
      </c>
      <c r="CH11" s="4">
        <v>2.715699453677805</v>
      </c>
      <c r="CI11" s="4">
        <v>3.1372111154871569</v>
      </c>
      <c r="CK11" s="4" cm="1">
        <f t="array" ref="CK11">EXP(BY11)/SUM(EXP($BY$11:$CI$11))</f>
        <v>4.5385110418469723E-3</v>
      </c>
      <c r="CL11" s="4" cm="1">
        <f t="array" ref="CL11">EXP(BZ11)/SUM(EXP($BY$11:$CI$11))</f>
        <v>1.4786383248270175E-3</v>
      </c>
      <c r="CM11" s="4" cm="1">
        <f t="array" ref="CM11">EXP(CA11)/SUM(EXP($BY$11:$CI$11))</f>
        <v>2.8428685462014267E-3</v>
      </c>
      <c r="CN11" s="4" cm="1">
        <f t="array" ref="CN11">EXP(CB11)/SUM(EXP($BY$11:$CI$11))</f>
        <v>3.6482794668499267E-3</v>
      </c>
      <c r="CO11" s="4" cm="1">
        <f t="array" ref="CO11">EXP(CC11)/SUM(EXP($BY$11:$CI$11))</f>
        <v>3.3637615339224022E-3</v>
      </c>
      <c r="CP11" s="4" cm="1">
        <f t="array" ref="CP11">EXP(CD11)/SUM(EXP($BY$11:$CI$11))</f>
        <v>0.22767749394262365</v>
      </c>
      <c r="CQ11" s="4" cm="1">
        <f t="array" ref="CQ11">EXP(CE11)/SUM(EXP($BY$11:$CI$11))</f>
        <v>0.24222217688987968</v>
      </c>
      <c r="CR11" s="4" cm="1">
        <f t="array" ref="CR11">EXP(CF11)/SUM(EXP($BY$11:$CI$11))</f>
        <v>6.2630036763801633E-2</v>
      </c>
      <c r="CS11" s="4" cm="1">
        <f t="array" ref="CS11">EXP(CG11)/SUM(EXP($BY$11:$CI$11))</f>
        <v>1.5381293438487974E-2</v>
      </c>
      <c r="CT11" s="4" cm="1">
        <f t="array" ref="CT11">EXP(CH11)/SUM(EXP($BY$11:$CI$11))</f>
        <v>0.17280955651601801</v>
      </c>
      <c r="CU11" s="4" cm="1">
        <f t="array" ref="CU11">EXP(CI11)/SUM(EXP($BY$11:$CI$11))</f>
        <v>0.26340738353554111</v>
      </c>
      <c r="CX11" s="4">
        <f t="shared" si="25"/>
        <v>0.22436794241715902</v>
      </c>
      <c r="CY11" s="4">
        <f t="shared" si="26"/>
        <v>-0.545484514967149</v>
      </c>
      <c r="CZ11" s="4">
        <f t="shared" si="27"/>
        <v>-1.2850690716094799</v>
      </c>
      <c r="DA11" s="4">
        <f t="shared" si="28"/>
        <v>0.37968205033715957</v>
      </c>
      <c r="DB11" s="4">
        <f t="shared" si="29"/>
        <v>-0.48652781802122408</v>
      </c>
      <c r="DC11" s="4">
        <f t="shared" si="30"/>
        <v>-0.86516946540959516</v>
      </c>
      <c r="DD11" s="4">
        <f t="shared" si="31"/>
        <v>0.24400497554878514</v>
      </c>
      <c r="DE11" s="4">
        <f t="shared" si="32"/>
        <v>-0.93070758987823698</v>
      </c>
      <c r="DF11" s="4">
        <f t="shared" si="33"/>
        <v>-1.8542069736559748</v>
      </c>
      <c r="DG11" s="4">
        <f t="shared" si="34"/>
        <v>1.1351669842970191</v>
      </c>
      <c r="DJ11" s="5">
        <v>0.108059</v>
      </c>
      <c r="DK11" s="5">
        <v>0.14192399999999999</v>
      </c>
      <c r="DL11" s="5">
        <v>0.239098</v>
      </c>
      <c r="DM11" s="5">
        <v>0.34207399999999999</v>
      </c>
      <c r="DN11" s="5">
        <v>0.52718200000000004</v>
      </c>
      <c r="DO11" s="5">
        <v>0.49906899999999998</v>
      </c>
      <c r="DP11" s="5">
        <v>0.38655400000000001</v>
      </c>
      <c r="DQ11" s="5">
        <v>0.41707300000000003</v>
      </c>
      <c r="DR11" s="5">
        <v>0.308058</v>
      </c>
      <c r="DS11" s="5">
        <v>-0.77172799999999997</v>
      </c>
      <c r="DU11" s="4">
        <v>1.4318252132863689</v>
      </c>
      <c r="DV11" s="4">
        <v>-1.282449288851252</v>
      </c>
      <c r="DW11" s="4">
        <v>-1.3196297241988371</v>
      </c>
      <c r="DX11" s="4">
        <v>-0.62921477958951333</v>
      </c>
      <c r="DY11" s="4">
        <v>-0.26924064589407937</v>
      </c>
      <c r="DZ11" s="4">
        <v>-2.5294180190629936</v>
      </c>
      <c r="EA11" s="4">
        <v>1.3298924478127223</v>
      </c>
      <c r="EB11" s="4">
        <v>-3.320497629662694</v>
      </c>
      <c r="EC11" s="4">
        <v>0.33440157183136388</v>
      </c>
      <c r="ED11" s="4">
        <v>-2.6599137697648407</v>
      </c>
      <c r="EF11" s="4">
        <f>DU$11+DJ$13</f>
        <v>1.8432942132863688</v>
      </c>
      <c r="EG11" s="4">
        <f t="shared" ref="EG11:EO11" si="53">DV$11+DK$13</f>
        <v>-1.3886812888512519</v>
      </c>
      <c r="EH11" s="4">
        <f t="shared" si="53"/>
        <v>-0.98678772419883698</v>
      </c>
      <c r="EI11" s="4">
        <f t="shared" si="53"/>
        <v>-0.43368677958951329</v>
      </c>
      <c r="EJ11" s="4">
        <f t="shared" si="53"/>
        <v>-0.40165664589407934</v>
      </c>
      <c r="EK11" s="4">
        <f t="shared" si="53"/>
        <v>-2.4172480190629937</v>
      </c>
      <c r="EL11" s="4">
        <f t="shared" si="53"/>
        <v>0.98027144781272235</v>
      </c>
      <c r="EM11" s="4">
        <f t="shared" si="53"/>
        <v>-2.8953936296626939</v>
      </c>
      <c r="EN11" s="4">
        <f t="shared" si="53"/>
        <v>0.45356057183136389</v>
      </c>
      <c r="EO11" s="4">
        <f t="shared" si="53"/>
        <v>-2.4691237697648409</v>
      </c>
    </row>
    <row r="12" spans="1:156" ht="19.5" customHeight="1">
      <c r="A12" s="2">
        <f t="shared" si="14"/>
        <v>11</v>
      </c>
      <c r="B12" s="9" t="s">
        <v>880</v>
      </c>
      <c r="C12" s="9"/>
      <c r="D12" s="9"/>
      <c r="E12" s="9"/>
      <c r="F12" s="9"/>
      <c r="G12" s="9"/>
      <c r="I12" s="15" t="s">
        <v>34</v>
      </c>
      <c r="J12" s="15">
        <v>10</v>
      </c>
      <c r="K12" s="4">
        <v>0.816384</v>
      </c>
      <c r="L12" s="4">
        <v>2.0906609999999999</v>
      </c>
      <c r="M12" s="4">
        <v>-1.562791</v>
      </c>
      <c r="N12" s="4">
        <v>0.20999699999999999</v>
      </c>
      <c r="O12" s="4">
        <v>-1.1584179999999999</v>
      </c>
      <c r="P12" s="4">
        <v>-0.46491100000000002</v>
      </c>
      <c r="Q12" s="4">
        <v>-1.6255219999999999</v>
      </c>
      <c r="R12" s="4">
        <v>0.90967399999999998</v>
      </c>
      <c r="S12" s="4">
        <v>3.8110000000000002E-3</v>
      </c>
      <c r="T12" s="4">
        <v>0.63568400000000003</v>
      </c>
      <c r="V12" s="1" t="s">
        <v>17</v>
      </c>
      <c r="X12" s="8">
        <f t="shared" si="0"/>
        <v>0</v>
      </c>
      <c r="Z12" s="4">
        <f t="shared" si="1"/>
        <v>-0.66673099999999996</v>
      </c>
      <c r="AA12" s="4">
        <f t="shared" si="2"/>
        <v>-0.68116600000000005</v>
      </c>
      <c r="AB12" s="4">
        <f t="shared" si="3"/>
        <v>0.86773500000000003</v>
      </c>
      <c r="AC12" s="4">
        <f t="shared" si="4"/>
        <v>-1.59409</v>
      </c>
      <c r="AD12" s="4">
        <f t="shared" si="5"/>
        <v>0.35751500000000003</v>
      </c>
      <c r="AE12" s="4">
        <f t="shared" si="6"/>
        <v>0.98915600000000004</v>
      </c>
      <c r="AF12" s="4">
        <f t="shared" si="7"/>
        <v>-0.47419600000000001</v>
      </c>
      <c r="AG12" s="4">
        <f t="shared" si="8"/>
        <v>-0.12282700000000001</v>
      </c>
      <c r="AH12" s="4">
        <f t="shared" si="9"/>
        <v>-0.84258299999999997</v>
      </c>
      <c r="AI12" s="4">
        <f t="shared" si="10"/>
        <v>1.4830239999999999</v>
      </c>
      <c r="AK12" s="4">
        <v>-0.99710299999999996</v>
      </c>
      <c r="AL12" s="4">
        <v>-1.6302559999999999</v>
      </c>
      <c r="AM12" s="4">
        <v>3.0213399999999999</v>
      </c>
      <c r="AN12" s="4">
        <v>-0.62216899999999997</v>
      </c>
      <c r="AO12" s="4">
        <v>1.3397589999999999</v>
      </c>
      <c r="AP12" s="4">
        <v>-0.30377999999999999</v>
      </c>
      <c r="AQ12" s="4">
        <v>-1.660598</v>
      </c>
      <c r="AR12" s="4">
        <v>2.4621219999999999</v>
      </c>
      <c r="AS12" s="4">
        <v>-0.86222600000000005</v>
      </c>
      <c r="AT12" s="4">
        <v>1.9981040000000001</v>
      </c>
      <c r="AV12" s="4">
        <f>Z12+AK12</f>
        <v>-1.663834</v>
      </c>
      <c r="AW12" s="4">
        <f t="shared" ref="AW12" si="54">AA12+AL12</f>
        <v>-2.3114219999999999</v>
      </c>
      <c r="AX12" s="4">
        <f t="shared" ref="AX12" si="55">AB12+AM12</f>
        <v>3.8890750000000001</v>
      </c>
      <c r="AY12" s="4">
        <f t="shared" ref="AY12" si="56">AC12+AN12</f>
        <v>-2.216259</v>
      </c>
      <c r="AZ12" s="4">
        <f t="shared" ref="AZ12" si="57">AD12+AO12</f>
        <v>1.6972739999999999</v>
      </c>
      <c r="BA12" s="4">
        <f t="shared" ref="BA12" si="58">AE12+AP12</f>
        <v>0.68537599999999999</v>
      </c>
      <c r="BB12" s="4">
        <f t="shared" ref="BB12" si="59">AF12+AQ12</f>
        <v>-2.1347939999999999</v>
      </c>
      <c r="BC12" s="4">
        <f t="shared" ref="BC12" si="60">AG12+AR12</f>
        <v>2.3392949999999999</v>
      </c>
      <c r="BD12" s="4">
        <f t="shared" ref="BD12" si="61">AH12+AS12</f>
        <v>-1.704809</v>
      </c>
      <c r="BE12" s="4">
        <f t="shared" ref="BE12" si="62">AI12+AT12</f>
        <v>3.481128</v>
      </c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4">
        <v>4.4157625128969995</v>
      </c>
      <c r="BT12" s="4">
        <v>5.4835451471110002</v>
      </c>
      <c r="BU12" s="4">
        <v>-5.8984440654180004</v>
      </c>
      <c r="BV12" s="4">
        <v>-9.2079484480719991</v>
      </c>
      <c r="BW12" s="4">
        <v>-2.1301596886399996</v>
      </c>
      <c r="BX12" s="4"/>
      <c r="BY12" s="4">
        <v>5.5556179962921632</v>
      </c>
      <c r="BZ12" s="4">
        <v>6.4814231921587799</v>
      </c>
      <c r="CA12" s="4">
        <v>6.0000173270190631</v>
      </c>
      <c r="CB12" s="4">
        <v>2.4768577052977601</v>
      </c>
      <c r="CC12" s="4">
        <v>3.1201953812526471</v>
      </c>
      <c r="CD12" s="4">
        <v>-11.78076302925183</v>
      </c>
      <c r="CE12" s="4">
        <v>-7.1440212918687447</v>
      </c>
      <c r="CF12" s="4">
        <v>-3.2836993190452808</v>
      </c>
      <c r="CG12" s="4">
        <v>-2.2015792159209808</v>
      </c>
      <c r="CH12" s="4">
        <v>-6.0418109868104501</v>
      </c>
      <c r="CI12" s="4">
        <v>-14.159499859529234</v>
      </c>
      <c r="CK12" s="4" cm="1">
        <f t="array" ref="CK12">EXP(BY12)/SUM(EXP($BY$12:$CI$12))</f>
        <v>0.19165846154277902</v>
      </c>
      <c r="CL12" s="4" cm="1">
        <f t="array" ref="CL12">EXP(BZ12)/SUM(EXP($BY$12:$CI$12))</f>
        <v>0.48372672898885344</v>
      </c>
      <c r="CM12" s="4" cm="1">
        <f t="array" ref="CM12">EXP(CA12)/SUM(EXP($BY$12:$CI$12))</f>
        <v>0.29890155527277157</v>
      </c>
      <c r="CN12" s="4" cm="1">
        <f t="array" ref="CN12">EXP(CB12)/SUM(EXP($BY$12:$CI$12))</f>
        <v>8.819407147091278E-3</v>
      </c>
      <c r="CO12" s="4" cm="1">
        <f t="array" ref="CO12">EXP(CC12)/SUM(EXP($BY$12:$CI$12))</f>
        <v>1.6781755712639537E-2</v>
      </c>
      <c r="CP12" s="4" cm="1">
        <f t="array" ref="CP12">EXP(CD12)/SUM(EXP($BY$12:$CI$12))</f>
        <v>5.6680462083470487E-9</v>
      </c>
      <c r="CQ12" s="4" cm="1">
        <f t="array" ref="CQ12">EXP(CE12)/SUM(EXP($BY$12:$CI$12))</f>
        <v>5.8498500339101744E-7</v>
      </c>
      <c r="CR12" s="4" cm="1">
        <f t="array" ref="CR12">EXP(CF12)/SUM(EXP($BY$12:$CI$12))</f>
        <v>2.7775460235281717E-5</v>
      </c>
      <c r="CS12" s="4" cm="1">
        <f t="array" ref="CS12">EXP(CG12)/SUM(EXP($BY$12:$CI$12))</f>
        <v>8.1963416595871218E-5</v>
      </c>
      <c r="CT12" s="4" cm="1">
        <f t="array" ref="CT12">EXP(CH12)/SUM(EXP($BY$12:$CI$12))</f>
        <v>1.7612807402797333E-6</v>
      </c>
      <c r="CU12" s="4" cm="1">
        <f t="array" ref="CU12">EXP(CI12)/SUM(EXP($BY$12:$CI$12))</f>
        <v>5.2524400339720614E-10</v>
      </c>
      <c r="CX12" s="4">
        <f>CQ25</f>
        <v>1.5779347346277961</v>
      </c>
      <c r="CY12" s="4">
        <f t="shared" si="26"/>
        <v>0.68115133767582814</v>
      </c>
      <c r="CZ12" s="4">
        <f t="shared" si="27"/>
        <v>-0.21993122562370374</v>
      </c>
      <c r="DA12" s="4">
        <f t="shared" si="28"/>
        <v>1.5450085911505391</v>
      </c>
      <c r="DB12" s="4">
        <f t="shared" si="29"/>
        <v>0.88369532106211302</v>
      </c>
      <c r="DC12" s="4">
        <f t="shared" si="30"/>
        <v>4.3544858436526725</v>
      </c>
      <c r="DD12" s="4">
        <f t="shared" si="31"/>
        <v>-1.3945746574346434</v>
      </c>
      <c r="DE12" s="4">
        <f t="shared" si="32"/>
        <v>2.9800493552697427</v>
      </c>
      <c r="DF12" s="4">
        <f t="shared" si="33"/>
        <v>2.5295287507828892</v>
      </c>
      <c r="DG12" s="4">
        <f t="shared" si="34"/>
        <v>-1.5551624177100667</v>
      </c>
      <c r="DU12" s="4">
        <v>2.1078656196691883</v>
      </c>
      <c r="DV12" s="4">
        <v>-1.9992292846117767</v>
      </c>
      <c r="DW12" s="4">
        <v>6.4095404351852894</v>
      </c>
      <c r="DX12" s="4">
        <v>2.1658206299195748</v>
      </c>
      <c r="DY12" s="4">
        <v>1.477161786408643</v>
      </c>
      <c r="DZ12" s="4">
        <v>5.6914868659639595</v>
      </c>
      <c r="EA12" s="4">
        <v>2.8740280163506746</v>
      </c>
      <c r="EB12" s="4">
        <v>4.6015743160598852</v>
      </c>
      <c r="EC12" s="4">
        <v>-3.8059312878818963</v>
      </c>
      <c r="ED12" s="4">
        <v>6.0653847496402218</v>
      </c>
      <c r="EF12" s="4">
        <f>DU$12+DJ$13</f>
        <v>2.5193346196691881</v>
      </c>
      <c r="EG12" s="4">
        <f t="shared" ref="EG12:EO12" si="63">DV$12+DK$13</f>
        <v>-2.1054612846117768</v>
      </c>
      <c r="EH12" s="4">
        <f>DW$12+DL$13</f>
        <v>6.7423824351852897</v>
      </c>
      <c r="EI12" s="4">
        <f t="shared" si="63"/>
        <v>2.3613486299195747</v>
      </c>
      <c r="EJ12" s="4">
        <f t="shared" si="63"/>
        <v>1.344745786408643</v>
      </c>
      <c r="EK12" s="4">
        <f t="shared" si="63"/>
        <v>5.8036568659639594</v>
      </c>
      <c r="EL12" s="4">
        <f t="shared" si="63"/>
        <v>2.5244070163506747</v>
      </c>
      <c r="EM12" s="4">
        <f t="shared" si="63"/>
        <v>5.0266783160598854</v>
      </c>
      <c r="EN12" s="4">
        <f t="shared" si="63"/>
        <v>-3.6867722878818965</v>
      </c>
      <c r="EO12" s="4">
        <f t="shared" si="63"/>
        <v>6.2561747496402216</v>
      </c>
    </row>
    <row r="13" spans="1:156" ht="19.5" customHeight="1">
      <c r="A13" s="2">
        <f t="shared" si="14"/>
        <v>12</v>
      </c>
      <c r="B13" s="9" t="s">
        <v>881</v>
      </c>
      <c r="C13" s="9"/>
      <c r="D13" s="9"/>
      <c r="E13" s="9"/>
      <c r="F13" s="9"/>
      <c r="G13" s="9"/>
      <c r="I13" s="15" t="s">
        <v>24</v>
      </c>
      <c r="J13" s="15">
        <v>11</v>
      </c>
      <c r="K13" s="4">
        <v>-0.11584999999999999</v>
      </c>
      <c r="L13" s="4">
        <v>0.98291899999999999</v>
      </c>
      <c r="M13" s="4">
        <v>0.53605499999999995</v>
      </c>
      <c r="N13" s="4">
        <v>-0.14971100000000001</v>
      </c>
      <c r="O13" s="4">
        <v>3.1085280000000002</v>
      </c>
      <c r="P13" s="4">
        <v>2.3555419999999998</v>
      </c>
      <c r="Q13" s="4">
        <v>-0.81817499999999999</v>
      </c>
      <c r="R13" s="4">
        <v>-1.0643009999999999</v>
      </c>
      <c r="S13" s="4">
        <v>1.3656569999999999</v>
      </c>
      <c r="T13" s="4">
        <v>1.411429</v>
      </c>
      <c r="V13" s="17" t="s">
        <v>1202</v>
      </c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E13" s="4"/>
      <c r="CF13" s="4"/>
      <c r="CG13" s="4"/>
      <c r="CH13" s="4"/>
      <c r="CI13" s="4"/>
      <c r="CX13" s="4"/>
      <c r="CY13" s="4"/>
      <c r="CZ13" s="4"/>
      <c r="DA13" s="4"/>
      <c r="DB13" s="4"/>
      <c r="DJ13" s="5">
        <v>0.41146899999999997</v>
      </c>
      <c r="DK13" s="5">
        <v>-0.10623199999999999</v>
      </c>
      <c r="DL13" s="5">
        <v>0.33284200000000003</v>
      </c>
      <c r="DM13" s="5">
        <v>0.19552800000000001</v>
      </c>
      <c r="DN13" s="5">
        <v>-0.13241600000000001</v>
      </c>
      <c r="DO13" s="5">
        <v>0.11217000000000001</v>
      </c>
      <c r="DP13" s="5">
        <v>-0.34962100000000002</v>
      </c>
      <c r="DQ13" s="5">
        <v>0.42510399999999998</v>
      </c>
      <c r="DR13" s="5">
        <v>0.119159</v>
      </c>
      <c r="DS13" s="5">
        <v>0.19078999999999999</v>
      </c>
    </row>
    <row r="14" spans="1:156" ht="19.5" customHeight="1">
      <c r="A14" s="2">
        <f t="shared" si="14"/>
        <v>13</v>
      </c>
      <c r="B14" s="9" t="s">
        <v>882</v>
      </c>
      <c r="C14" s="9"/>
      <c r="D14" s="9"/>
      <c r="E14" s="9"/>
      <c r="F14" s="9"/>
      <c r="G14" s="9"/>
      <c r="I14" s="15" t="s">
        <v>35</v>
      </c>
      <c r="J14" s="15">
        <v>12</v>
      </c>
      <c r="K14" s="4">
        <v>-0.44591599999999998</v>
      </c>
      <c r="L14" s="4">
        <v>-0.60271799999999998</v>
      </c>
      <c r="M14" s="4">
        <v>9.6093999999999999E-2</v>
      </c>
      <c r="N14" s="4">
        <v>1.007136</v>
      </c>
      <c r="O14" s="4">
        <v>0.62984300000000004</v>
      </c>
      <c r="P14" s="4">
        <v>-0.62939599999999996</v>
      </c>
      <c r="Q14" s="4">
        <v>0.397955</v>
      </c>
      <c r="R14" s="4">
        <v>0.652671</v>
      </c>
      <c r="S14" s="4">
        <v>0.25165999999999999</v>
      </c>
      <c r="T14" s="4">
        <v>-0.55419099999999999</v>
      </c>
      <c r="V14" s="26">
        <f>EF46</f>
        <v>1</v>
      </c>
      <c r="W14" s="26"/>
      <c r="X14" s="16"/>
      <c r="Y14" s="22" t="s">
        <v>1212</v>
      </c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BH14" s="2" t="s">
        <v>5</v>
      </c>
      <c r="BS14" s="2" t="s">
        <v>8</v>
      </c>
      <c r="BZ14" s="2" t="s">
        <v>6</v>
      </c>
      <c r="CK14" s="2" t="s">
        <v>9</v>
      </c>
      <c r="CQ14" s="2" t="s">
        <v>12</v>
      </c>
      <c r="CX14" s="4"/>
      <c r="CY14" s="4"/>
      <c r="CZ14" s="4"/>
      <c r="DA14" s="4"/>
      <c r="DB14" s="4"/>
    </row>
    <row r="15" spans="1:156" ht="19.5" customHeight="1">
      <c r="A15" s="2">
        <f t="shared" si="14"/>
        <v>14</v>
      </c>
      <c r="B15" s="9" t="s">
        <v>883</v>
      </c>
      <c r="C15" s="9"/>
      <c r="D15" s="9"/>
      <c r="E15" s="9"/>
      <c r="F15" s="9"/>
      <c r="G15" s="9"/>
      <c r="I15" s="15" t="s">
        <v>36</v>
      </c>
      <c r="J15" s="15">
        <v>13</v>
      </c>
      <c r="K15" s="4">
        <v>-1.648501</v>
      </c>
      <c r="L15" s="4">
        <v>0.977163</v>
      </c>
      <c r="M15" s="4">
        <v>0.97273399999999999</v>
      </c>
      <c r="N15" s="4">
        <v>0.38971</v>
      </c>
      <c r="O15" s="4">
        <v>-0.61971900000000002</v>
      </c>
      <c r="P15" s="4">
        <v>-1.4524889999999999</v>
      </c>
      <c r="Q15" s="4">
        <v>-1.9069590000000001</v>
      </c>
      <c r="R15" s="4">
        <v>0.89077099999999998</v>
      </c>
      <c r="S15" s="4">
        <v>-0.63028200000000001</v>
      </c>
      <c r="T15" s="4">
        <v>-0.70275900000000002</v>
      </c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BH15" s="5">
        <v>7.9391000000000003E-2</v>
      </c>
      <c r="BI15" s="5">
        <v>-0.23131599999999999</v>
      </c>
      <c r="BJ15" s="5">
        <v>-0.31089600000000001</v>
      </c>
      <c r="BK15" s="5">
        <v>0.390403</v>
      </c>
      <c r="BL15" s="5">
        <v>-8.4987999999999994E-2</v>
      </c>
      <c r="BM15" s="5">
        <v>0.19933100000000001</v>
      </c>
      <c r="BN15" s="5">
        <v>0.48950900000000003</v>
      </c>
      <c r="BO15" s="5">
        <v>0.121492</v>
      </c>
      <c r="BP15" s="5">
        <v>-6.0090999999999999E-2</v>
      </c>
      <c r="BQ15" s="5">
        <v>0.19330800000000001</v>
      </c>
      <c r="BR15" s="5"/>
      <c r="BS15" s="4" cm="1">
        <f t="array" ref="BS15:BW25">MMULT(AV2:BE12,TRANSPOSE(BH15:BQ19))</f>
        <v>2.0216000328350008</v>
      </c>
      <c r="BT15" s="4">
        <v>-2.6683304505000199E-2</v>
      </c>
      <c r="BU15" s="4">
        <v>0.78961797982799986</v>
      </c>
      <c r="BV15" s="4">
        <v>-1.6754315338329999</v>
      </c>
      <c r="BW15" s="4">
        <v>0.93042299755600011</v>
      </c>
      <c r="BX15" s="4"/>
      <c r="BZ15" s="5">
        <v>0.208817</v>
      </c>
      <c r="CA15" s="5">
        <v>-0.40449299999999999</v>
      </c>
      <c r="CB15" s="5">
        <v>-7.0347999999999994E-2</v>
      </c>
      <c r="CC15" s="5">
        <v>6.7972000000000005E-2</v>
      </c>
      <c r="CD15" s="5">
        <v>0.12284200000000001</v>
      </c>
      <c r="CE15" s="5">
        <v>0.10015</v>
      </c>
      <c r="CF15" s="5">
        <v>0.47398200000000001</v>
      </c>
      <c r="CG15" s="5">
        <v>0.56170600000000004</v>
      </c>
      <c r="CH15" s="5">
        <v>0.49841299999999999</v>
      </c>
      <c r="CI15" s="5">
        <v>-0.39448899999999998</v>
      </c>
      <c r="CJ15" s="5"/>
      <c r="CK15" s="4" cm="1">
        <f t="array" ref="CK15:CO25">MMULT(AV2:BE12,TRANSPOSE(BZ15:CI19))</f>
        <v>1.558243350413</v>
      </c>
      <c r="CL15" s="4">
        <v>3.1398859391360001</v>
      </c>
      <c r="CM15" s="4">
        <v>1.0509145587419999</v>
      </c>
      <c r="CN15" s="4">
        <v>1.9317245265590002</v>
      </c>
      <c r="CO15" s="4">
        <v>1.2345534687240003</v>
      </c>
      <c r="CQ15" s="4" cm="1">
        <f t="array" ref="CQ15:CU25">MMULT(CK2:CU12,_xlfn.ANCHORARRAY(CK15))</f>
        <v>-0.55808582998430178</v>
      </c>
      <c r="CR15" s="4">
        <v>-0.97469016987098422</v>
      </c>
      <c r="CS15" s="4">
        <v>-1.0092635656533167</v>
      </c>
      <c r="CT15" s="4">
        <v>-0.56712847825759505</v>
      </c>
      <c r="CU15" s="4">
        <v>-0.4018961771371925</v>
      </c>
      <c r="CX15" s="4"/>
      <c r="CY15" s="4"/>
      <c r="CZ15" s="4"/>
      <c r="DA15" s="4"/>
      <c r="DB15" s="4"/>
      <c r="DJ15" s="6" t="s">
        <v>1197</v>
      </c>
      <c r="DU15" s="11" t="s">
        <v>1196</v>
      </c>
      <c r="EF15" s="10" t="s">
        <v>18</v>
      </c>
      <c r="EQ15" s="2" t="s">
        <v>16</v>
      </c>
    </row>
    <row r="16" spans="1:156" ht="19" customHeight="1">
      <c r="A16" s="2">
        <f t="shared" si="14"/>
        <v>15</v>
      </c>
      <c r="B16" s="9" t="s">
        <v>884</v>
      </c>
      <c r="C16" s="9"/>
      <c r="D16" s="9"/>
      <c r="E16" s="9"/>
      <c r="F16" s="9"/>
      <c r="G16" s="9"/>
      <c r="I16" s="15" t="s">
        <v>37</v>
      </c>
      <c r="J16" s="15">
        <v>14</v>
      </c>
      <c r="K16" s="4">
        <v>1.1330260000000001</v>
      </c>
      <c r="L16" s="4">
        <v>-0.86109100000000005</v>
      </c>
      <c r="M16" s="4">
        <v>0.43431500000000001</v>
      </c>
      <c r="N16" s="4">
        <v>1.232918</v>
      </c>
      <c r="O16" s="4">
        <v>-0.52336700000000003</v>
      </c>
      <c r="P16" s="4">
        <v>-3.4875999999999997E-2</v>
      </c>
      <c r="Q16" s="4">
        <v>1.0026649999999999</v>
      </c>
      <c r="R16" s="4">
        <v>-1.2573259999999999</v>
      </c>
      <c r="S16" s="4">
        <v>-0.99134599999999995</v>
      </c>
      <c r="T16" s="4">
        <v>-1.1046180000000001</v>
      </c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H16" s="5">
        <v>0.43217100000000003</v>
      </c>
      <c r="BI16" s="5">
        <v>-0.148393</v>
      </c>
      <c r="BJ16" s="5">
        <v>-0.105642</v>
      </c>
      <c r="BK16" s="5">
        <v>0.43657600000000002</v>
      </c>
      <c r="BL16" s="5">
        <v>4.7225999999999997E-2</v>
      </c>
      <c r="BM16" s="5">
        <v>0.19980200000000001</v>
      </c>
      <c r="BN16" s="5">
        <v>0.222662</v>
      </c>
      <c r="BO16" s="5">
        <v>0.55697399999999997</v>
      </c>
      <c r="BP16" s="5">
        <v>1.7158E-2</v>
      </c>
      <c r="BQ16" s="5">
        <v>0.16470000000000001</v>
      </c>
      <c r="BR16" s="5"/>
      <c r="BS16" s="4">
        <v>1.5766207331090003</v>
      </c>
      <c r="BT16" s="4">
        <v>8.6271606667999864E-2</v>
      </c>
      <c r="BU16" s="4">
        <v>-0.89676103593199996</v>
      </c>
      <c r="BV16" s="4">
        <v>-0.60370497073700002</v>
      </c>
      <c r="BW16" s="4">
        <v>-1.0387126088159999</v>
      </c>
      <c r="BX16" s="4"/>
      <c r="BZ16" s="5">
        <v>-0.21601600000000001</v>
      </c>
      <c r="CA16" s="5">
        <v>-0.454984</v>
      </c>
      <c r="CB16" s="5">
        <v>-0.308751</v>
      </c>
      <c r="CC16" s="5">
        <v>0.46500999999999998</v>
      </c>
      <c r="CD16" s="5">
        <v>-0.21721799999999999</v>
      </c>
      <c r="CE16" s="5">
        <v>0.58410899999999999</v>
      </c>
      <c r="CF16" s="5">
        <v>0.16539200000000001</v>
      </c>
      <c r="CG16" s="5">
        <v>0.56106999999999996</v>
      </c>
      <c r="CH16" s="5">
        <v>-0.115533</v>
      </c>
      <c r="CI16" s="5">
        <v>-0.43970700000000001</v>
      </c>
      <c r="CJ16" s="5"/>
      <c r="CK16" s="4">
        <v>1.3077705417960004</v>
      </c>
      <c r="CL16" s="4">
        <v>-0.12185032212399974</v>
      </c>
      <c r="CM16" s="4">
        <v>-8.5298703884000154E-2</v>
      </c>
      <c r="CN16" s="4">
        <v>1.6785344812209995</v>
      </c>
      <c r="CO16" s="4">
        <v>1.6074139520679995</v>
      </c>
      <c r="CQ16" s="4">
        <v>-0.25558864036690943</v>
      </c>
      <c r="CR16" s="4">
        <v>-0.97736451015674652</v>
      </c>
      <c r="CS16" s="4">
        <v>-1.3619339879807841</v>
      </c>
      <c r="CT16" s="4">
        <v>-0.55381595861513411</v>
      </c>
      <c r="CU16" s="4">
        <v>-0.88879269920022774</v>
      </c>
      <c r="CX16" s="4"/>
      <c r="CY16" s="4"/>
      <c r="CZ16" s="4"/>
      <c r="DA16" s="4"/>
      <c r="DB16" s="4"/>
      <c r="DJ16" s="5">
        <v>4.1116E-2</v>
      </c>
      <c r="DK16" s="5">
        <v>-0.191751</v>
      </c>
      <c r="DL16" s="5">
        <v>-0.23508100000000001</v>
      </c>
      <c r="DM16" s="5">
        <v>-0.191159</v>
      </c>
      <c r="DN16" s="5">
        <v>-0.19480600000000001</v>
      </c>
      <c r="DO16" s="5">
        <v>-0.260237</v>
      </c>
      <c r="DP16" s="5">
        <v>7.6276999999999998E-2</v>
      </c>
      <c r="DQ16" s="5">
        <v>0.257046</v>
      </c>
      <c r="DR16" s="5">
        <v>2.1017999999999998E-2</v>
      </c>
      <c r="DS16" s="5">
        <v>-0.12862000000000001</v>
      </c>
      <c r="DU16" s="4" cm="1">
        <f t="array" ref="DU16:ED26">MMULT(EF2:EO12,TRANSPOSE(DJ16:DS25))</f>
        <v>1.3897054720649007</v>
      </c>
      <c r="DV16" s="4">
        <v>-9.9737346100616797E-3</v>
      </c>
      <c r="DW16" s="4">
        <v>2.822204953338904</v>
      </c>
      <c r="DX16" s="4">
        <v>-0.16993094918146617</v>
      </c>
      <c r="DY16" s="4">
        <v>1.1868129599544248</v>
      </c>
      <c r="DZ16" s="4">
        <v>-3.7190250635119737</v>
      </c>
      <c r="EA16" s="4">
        <v>-2.5522043724247698</v>
      </c>
      <c r="EB16" s="4">
        <v>-4.4601820552550162</v>
      </c>
      <c r="EC16" s="4">
        <v>-4.6332998084811052</v>
      </c>
      <c r="ED16" s="4">
        <v>-0.77237134238204996</v>
      </c>
      <c r="EE16" s="4"/>
      <c r="EF16" s="4">
        <f t="shared" ref="EF16:EO16" si="64">DU$16+DJ$27</f>
        <v>1.3149024720649007</v>
      </c>
      <c r="EG16" s="4">
        <f t="shared" si="64"/>
        <v>0.44282526538993833</v>
      </c>
      <c r="EH16" s="4">
        <f t="shared" si="64"/>
        <v>2.7723169533389038</v>
      </c>
      <c r="EI16" s="4">
        <f t="shared" si="64"/>
        <v>-0.23245994918146617</v>
      </c>
      <c r="EJ16" s="4">
        <f t="shared" si="64"/>
        <v>1.3500809599544248</v>
      </c>
      <c r="EK16" s="4">
        <f t="shared" si="64"/>
        <v>-3.6443830635119738</v>
      </c>
      <c r="EL16" s="4">
        <f t="shared" si="64"/>
        <v>-2.4721403724247697</v>
      </c>
      <c r="EM16" s="4">
        <f t="shared" si="64"/>
        <v>-4.1162550552550163</v>
      </c>
      <c r="EN16" s="4">
        <f t="shared" si="64"/>
        <v>-4.4149388084811054</v>
      </c>
      <c r="EO16" s="4">
        <f t="shared" si="64"/>
        <v>-0.73652834238205001</v>
      </c>
      <c r="EQ16" s="4">
        <f>MAX(0,EF16)</f>
        <v>1.3149024720649007</v>
      </c>
      <c r="ER16" s="4">
        <f t="shared" ref="ER16:EZ16" si="65">MAX(0,EG16)</f>
        <v>0.44282526538993833</v>
      </c>
      <c r="ES16" s="4">
        <f t="shared" si="65"/>
        <v>2.7723169533389038</v>
      </c>
      <c r="ET16" s="4">
        <f t="shared" si="65"/>
        <v>0</v>
      </c>
      <c r="EU16" s="4">
        <f t="shared" si="65"/>
        <v>1.3500809599544248</v>
      </c>
      <c r="EV16" s="4">
        <f t="shared" si="65"/>
        <v>0</v>
      </c>
      <c r="EW16" s="4">
        <f t="shared" si="65"/>
        <v>0</v>
      </c>
      <c r="EX16" s="4">
        <f t="shared" si="65"/>
        <v>0</v>
      </c>
      <c r="EY16" s="4">
        <f t="shared" si="65"/>
        <v>0</v>
      </c>
      <c r="EZ16" s="4">
        <f t="shared" si="65"/>
        <v>0</v>
      </c>
    </row>
    <row r="17" spans="1:156" ht="19" customHeight="1">
      <c r="A17" s="2">
        <f t="shared" si="14"/>
        <v>16</v>
      </c>
      <c r="B17" s="9" t="s">
        <v>885</v>
      </c>
      <c r="C17" s="9"/>
      <c r="D17" s="9"/>
      <c r="E17" s="9"/>
      <c r="F17" s="9"/>
      <c r="G17" s="9"/>
      <c r="I17" s="15" t="s">
        <v>38</v>
      </c>
      <c r="J17" s="15">
        <v>15</v>
      </c>
      <c r="K17" s="4">
        <v>1.1849149999999999</v>
      </c>
      <c r="L17" s="4">
        <v>0.12846199999999999</v>
      </c>
      <c r="M17" s="4">
        <v>-2.0428760000000001</v>
      </c>
      <c r="N17" s="4">
        <v>0.28354600000000002</v>
      </c>
      <c r="O17" s="4">
        <v>0.83149200000000001</v>
      </c>
      <c r="P17" s="4">
        <v>-1.714132</v>
      </c>
      <c r="Q17" s="4">
        <v>-0.26544000000000001</v>
      </c>
      <c r="R17" s="4">
        <v>-0.80663799999999997</v>
      </c>
      <c r="S17" s="4">
        <v>-0.79985099999999998</v>
      </c>
      <c r="T17" s="4">
        <v>-1.4832380000000001</v>
      </c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H17" s="5">
        <v>-0.33308399999999999</v>
      </c>
      <c r="BI17" s="5">
        <v>-0.15457799999999999</v>
      </c>
      <c r="BJ17" s="5">
        <v>-7.8121999999999997E-2</v>
      </c>
      <c r="BK17" s="5">
        <v>-0.27171800000000002</v>
      </c>
      <c r="BL17" s="5">
        <v>0.292323</v>
      </c>
      <c r="BM17" s="5">
        <v>0.239261</v>
      </c>
      <c r="BN17" s="5">
        <v>-9.6042000000000002E-2</v>
      </c>
      <c r="BO17" s="5">
        <v>5.8238999999999999E-2</v>
      </c>
      <c r="BP17" s="5">
        <v>0.19747300000000001</v>
      </c>
      <c r="BQ17" s="5">
        <v>-6.8654999999999994E-2</v>
      </c>
      <c r="BR17" s="5"/>
      <c r="BS17" s="4">
        <v>1.2736408287830001</v>
      </c>
      <c r="BT17" s="4">
        <v>0.64793860054800001</v>
      </c>
      <c r="BU17" s="4">
        <v>7.2912033867999951E-2</v>
      </c>
      <c r="BV17" s="4">
        <v>-0.93231910347400027</v>
      </c>
      <c r="BW17" s="4">
        <v>-0.77080891110700001</v>
      </c>
      <c r="BX17" s="4"/>
      <c r="BZ17" s="5">
        <v>-0.12071900000000001</v>
      </c>
      <c r="CA17" s="5">
        <v>-2.7115E-2</v>
      </c>
      <c r="CB17" s="5">
        <v>-0.125831</v>
      </c>
      <c r="CC17" s="5">
        <v>0.260384</v>
      </c>
      <c r="CD17" s="5">
        <v>-0.13464999999999999</v>
      </c>
      <c r="CE17" s="5">
        <v>7.2044999999999998E-2</v>
      </c>
      <c r="CF17" s="5">
        <v>-0.33392699999999997</v>
      </c>
      <c r="CG17" s="5">
        <v>-0.60911199999999999</v>
      </c>
      <c r="CH17" s="5">
        <v>-0.66051400000000005</v>
      </c>
      <c r="CI17" s="5">
        <v>0.117108</v>
      </c>
      <c r="CJ17" s="5"/>
      <c r="CK17" s="4">
        <v>2.1208216402320006</v>
      </c>
      <c r="CL17" s="4">
        <v>0.5054110956829998</v>
      </c>
      <c r="CM17" s="4">
        <v>-1.2279925333650001</v>
      </c>
      <c r="CN17" s="4">
        <v>1.0039565979060001</v>
      </c>
      <c r="CO17" s="4">
        <v>-0.45986973803899994</v>
      </c>
      <c r="CQ17" s="4">
        <v>0.41314044935875294</v>
      </c>
      <c r="CR17" s="4">
        <v>-0.2015896059266864</v>
      </c>
      <c r="CS17" s="4">
        <v>-0.62843444333249832</v>
      </c>
      <c r="CT17" s="4">
        <v>0.8353051520295961</v>
      </c>
      <c r="CU17" s="4">
        <v>7.1752751642440979E-2</v>
      </c>
      <c r="CV17" s="4"/>
      <c r="CX17" s="4"/>
      <c r="CY17" s="4"/>
      <c r="CZ17" s="4"/>
      <c r="DA17" s="4"/>
      <c r="DB17" s="4"/>
      <c r="DJ17" s="5">
        <v>0.63390000000000002</v>
      </c>
      <c r="DK17" s="5">
        <v>-0.52166299999999999</v>
      </c>
      <c r="DL17" s="5">
        <v>0.43343500000000001</v>
      </c>
      <c r="DM17" s="5">
        <v>0.49281599999999998</v>
      </c>
      <c r="DN17" s="5">
        <v>0.61253800000000003</v>
      </c>
      <c r="DO17" s="5">
        <v>-0.16237099999999999</v>
      </c>
      <c r="DP17" s="5">
        <v>0.70962000000000003</v>
      </c>
      <c r="DQ17" s="5">
        <v>-0.19268399999999999</v>
      </c>
      <c r="DR17" s="5">
        <v>4.2200000000000001E-2</v>
      </c>
      <c r="DS17" s="5">
        <v>-0.19519900000000001</v>
      </c>
      <c r="DU17" s="4">
        <v>1.4660984420949736</v>
      </c>
      <c r="DV17" s="4">
        <v>0.72850111034494491</v>
      </c>
      <c r="DW17" s="4">
        <v>3.6888803904309952</v>
      </c>
      <c r="DX17" s="4">
        <v>0.54909652874508508</v>
      </c>
      <c r="DY17" s="4">
        <v>2.0936332923979637</v>
      </c>
      <c r="DZ17" s="4">
        <v>-4.2688528739554465</v>
      </c>
      <c r="EA17" s="4">
        <v>-1.8758904780168426</v>
      </c>
      <c r="EB17" s="4">
        <v>-5.8110040633676761</v>
      </c>
      <c r="EC17" s="4">
        <v>-4.3944468291263226</v>
      </c>
      <c r="ED17" s="4">
        <v>-0.49271909801467251</v>
      </c>
      <c r="EE17" s="4"/>
      <c r="EF17" s="4">
        <f t="shared" ref="EF17:EO17" si="66">DU$17+DJ$27</f>
        <v>1.3912954420949737</v>
      </c>
      <c r="EG17" s="4">
        <f t="shared" si="66"/>
        <v>1.181300110344945</v>
      </c>
      <c r="EH17" s="4">
        <f t="shared" si="66"/>
        <v>3.6389923904309951</v>
      </c>
      <c r="EI17" s="4">
        <f t="shared" si="66"/>
        <v>0.48656752874508508</v>
      </c>
      <c r="EJ17" s="4">
        <f t="shared" si="66"/>
        <v>2.2569012923979637</v>
      </c>
      <c r="EK17" s="4">
        <f t="shared" si="66"/>
        <v>-4.1942108739554467</v>
      </c>
      <c r="EL17" s="4">
        <f t="shared" si="66"/>
        <v>-1.7958264780168427</v>
      </c>
      <c r="EM17" s="4">
        <f t="shared" si="66"/>
        <v>-5.4670770633676762</v>
      </c>
      <c r="EN17" s="4">
        <f t="shared" si="66"/>
        <v>-4.1760858291263228</v>
      </c>
      <c r="EO17" s="4">
        <f t="shared" si="66"/>
        <v>-0.45687609801467249</v>
      </c>
      <c r="EQ17" s="4">
        <f t="shared" ref="EQ17:EQ26" si="67">MAX(0,EF17)</f>
        <v>1.3912954420949737</v>
      </c>
      <c r="ER17" s="4">
        <f t="shared" ref="ER17:ER26" si="68">MAX(0,EG17)</f>
        <v>1.181300110344945</v>
      </c>
      <c r="ES17" s="4">
        <f t="shared" ref="ES17:ES26" si="69">MAX(0,EH17)</f>
        <v>3.6389923904309951</v>
      </c>
      <c r="ET17" s="4">
        <f t="shared" ref="ET17:ET26" si="70">MAX(0,EI17)</f>
        <v>0.48656752874508508</v>
      </c>
      <c r="EU17" s="4">
        <f t="shared" ref="EU17:EU26" si="71">MAX(0,EJ17)</f>
        <v>2.2569012923979637</v>
      </c>
      <c r="EV17" s="4">
        <f t="shared" ref="EV17:EV26" si="72">MAX(0,EK17)</f>
        <v>0</v>
      </c>
      <c r="EW17" s="4">
        <f t="shared" ref="EW17:EW26" si="73">MAX(0,EL17)</f>
        <v>0</v>
      </c>
      <c r="EX17" s="4">
        <f t="shared" ref="EX17:EX26" si="74">MAX(0,EM17)</f>
        <v>0</v>
      </c>
      <c r="EY17" s="4">
        <f t="shared" ref="EY17:EY26" si="75">MAX(0,EN17)</f>
        <v>0</v>
      </c>
      <c r="EZ17" s="4">
        <f t="shared" ref="EZ17:EZ26" si="76">MAX(0,EO17)</f>
        <v>0</v>
      </c>
    </row>
    <row r="18" spans="1:156" ht="16.5" customHeight="1">
      <c r="A18" s="2">
        <f t="shared" si="14"/>
        <v>17</v>
      </c>
      <c r="B18" s="9" t="s">
        <v>886</v>
      </c>
      <c r="C18" s="9"/>
      <c r="D18" s="9"/>
      <c r="E18" s="9"/>
      <c r="F18" s="9"/>
      <c r="G18" s="9"/>
      <c r="I18" s="15" t="s">
        <v>39</v>
      </c>
      <c r="J18" s="15">
        <v>16</v>
      </c>
      <c r="K18" s="4">
        <v>-0.71791199999999999</v>
      </c>
      <c r="L18" s="4">
        <v>-0.458088</v>
      </c>
      <c r="M18" s="4">
        <v>-0.53145600000000004</v>
      </c>
      <c r="N18" s="4">
        <v>0.55331300000000005</v>
      </c>
      <c r="O18" s="4">
        <v>0.21244099999999999</v>
      </c>
      <c r="P18" s="4">
        <v>0.18293200000000001</v>
      </c>
      <c r="Q18" s="4">
        <v>-0.65859800000000002</v>
      </c>
      <c r="R18" s="4">
        <v>5.3990999999999997E-2</v>
      </c>
      <c r="S18" s="4">
        <v>-2.2050559999999999</v>
      </c>
      <c r="T18" s="4">
        <v>-0.99021199999999998</v>
      </c>
      <c r="V18" s="27" t="s">
        <v>1213</v>
      </c>
      <c r="W18" s="27"/>
      <c r="X18" s="27"/>
      <c r="Y18" s="27"/>
      <c r="Z18" s="27"/>
      <c r="AA18" s="27"/>
      <c r="AB18" s="27"/>
      <c r="AC18" s="20"/>
      <c r="AD18" s="27" t="s">
        <v>1210</v>
      </c>
      <c r="AE18" s="27"/>
      <c r="AF18" s="20"/>
      <c r="AG18" s="27" t="s">
        <v>1211</v>
      </c>
      <c r="AH18" s="27"/>
      <c r="AI18" s="16"/>
      <c r="AJ18" s="16"/>
      <c r="AK18" s="16"/>
      <c r="AL18" s="16"/>
      <c r="AM18" s="16"/>
      <c r="AN18" s="16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H18" s="5">
        <v>-3.7727999999999998E-2</v>
      </c>
      <c r="BI18" s="5">
        <v>3.2167000000000001E-2</v>
      </c>
      <c r="BJ18" s="5">
        <v>0.317662</v>
      </c>
      <c r="BK18" s="5">
        <v>-0.36920999999999998</v>
      </c>
      <c r="BL18" s="5">
        <v>-3.3349999999999999E-3</v>
      </c>
      <c r="BM18" s="5">
        <v>0.17075699999999999</v>
      </c>
      <c r="BN18" s="5">
        <v>-0.45591799999999999</v>
      </c>
      <c r="BO18" s="5">
        <v>-0.38186199999999998</v>
      </c>
      <c r="BP18" s="5">
        <v>0.14363100000000001</v>
      </c>
      <c r="BQ18" s="5">
        <v>0.17513000000000001</v>
      </c>
      <c r="BR18" s="5"/>
      <c r="BS18" s="4">
        <v>0.63536624509999984</v>
      </c>
      <c r="BT18" s="4">
        <v>1.3365269952459997</v>
      </c>
      <c r="BU18" s="4">
        <v>0.29806737368300018</v>
      </c>
      <c r="BV18" s="4">
        <v>-0.30677690310299988</v>
      </c>
      <c r="BW18" s="4">
        <v>1.5814180375110003</v>
      </c>
      <c r="BX18" s="4"/>
      <c r="BZ18" s="5">
        <v>0.481323</v>
      </c>
      <c r="CA18" s="5">
        <v>-0.46850599999999998</v>
      </c>
      <c r="CB18" s="5">
        <v>0.22897100000000001</v>
      </c>
      <c r="CC18" s="5">
        <v>6.5045000000000006E-2</v>
      </c>
      <c r="CD18" s="5">
        <v>1.0795490000000001</v>
      </c>
      <c r="CE18" s="5">
        <v>0.30295299999999997</v>
      </c>
      <c r="CF18" s="5">
        <v>0.21736</v>
      </c>
      <c r="CG18" s="5">
        <v>-0.49784</v>
      </c>
      <c r="CH18" s="5">
        <v>0.41464899999999999</v>
      </c>
      <c r="CI18" s="5">
        <v>-0.44306299999999998</v>
      </c>
      <c r="CJ18" s="5"/>
      <c r="CK18" s="4">
        <v>0.43443195139599983</v>
      </c>
      <c r="CL18" s="4">
        <v>0.75550003039499969</v>
      </c>
      <c r="CM18" s="4">
        <v>0.21392466222399997</v>
      </c>
      <c r="CN18" s="4">
        <v>2.8207665729190001</v>
      </c>
      <c r="CO18" s="4">
        <v>2.063876196591</v>
      </c>
      <c r="CQ18" s="4">
        <v>1.0294762028445263</v>
      </c>
      <c r="CR18" s="4">
        <v>0.55229944531352371</v>
      </c>
      <c r="CS18" s="4">
        <v>-0.13764730248419119</v>
      </c>
      <c r="CT18" s="4">
        <v>1.4900379819649434</v>
      </c>
      <c r="CU18" s="4">
        <v>0.7380013904199203</v>
      </c>
      <c r="CV18" s="4"/>
      <c r="CX18" s="4"/>
      <c r="CY18" s="4"/>
      <c r="CZ18" s="4"/>
      <c r="DA18" s="4"/>
      <c r="DB18" s="4"/>
      <c r="DJ18" s="5">
        <v>0.37182799999999999</v>
      </c>
      <c r="DK18" s="5">
        <v>-0.245862</v>
      </c>
      <c r="DL18" s="5">
        <v>-1.3664000000000001E-2</v>
      </c>
      <c r="DM18" s="5">
        <v>-0.30457499999999998</v>
      </c>
      <c r="DN18" s="5">
        <v>0.142653</v>
      </c>
      <c r="DO18" s="5">
        <v>-5.9694999999999998E-2</v>
      </c>
      <c r="DP18" s="5">
        <v>0.44321199999999999</v>
      </c>
      <c r="DQ18" s="5">
        <v>-0.24273</v>
      </c>
      <c r="DR18" s="5">
        <v>0.25564199999999998</v>
      </c>
      <c r="DS18" s="5">
        <v>-0.49579299999999998</v>
      </c>
      <c r="DU18" s="4">
        <v>-0.35226383659417343</v>
      </c>
      <c r="DV18" s="4">
        <v>3.8879662540925195</v>
      </c>
      <c r="DW18" s="4">
        <v>0.59111121714922155</v>
      </c>
      <c r="DX18" s="4">
        <v>0.30097288821132673</v>
      </c>
      <c r="DY18" s="4">
        <v>2.1295572310065412</v>
      </c>
      <c r="DZ18" s="4">
        <v>-1.6254917020456805</v>
      </c>
      <c r="EA18" s="4">
        <v>2.7557789798704633</v>
      </c>
      <c r="EB18" s="4">
        <v>1.8808115876585689</v>
      </c>
      <c r="EC18" s="4">
        <v>2.9095852988113213</v>
      </c>
      <c r="ED18" s="4">
        <v>-1.8081722076392994</v>
      </c>
      <c r="EE18" s="4"/>
      <c r="EF18" s="4">
        <f t="shared" ref="EF18:EO18" si="77">DU$18+DJ$27</f>
        <v>-0.42706683659417344</v>
      </c>
      <c r="EG18" s="4">
        <f t="shared" si="77"/>
        <v>4.3407652540925197</v>
      </c>
      <c r="EH18" s="4">
        <f t="shared" si="77"/>
        <v>0.5412232171492215</v>
      </c>
      <c r="EI18" s="4">
        <f t="shared" si="77"/>
        <v>0.23844388821132673</v>
      </c>
      <c r="EJ18" s="4">
        <f t="shared" si="77"/>
        <v>2.2928252310065411</v>
      </c>
      <c r="EK18" s="4">
        <f t="shared" si="77"/>
        <v>-1.5508497020456804</v>
      </c>
      <c r="EL18" s="4">
        <f t="shared" si="77"/>
        <v>2.8358429798704634</v>
      </c>
      <c r="EM18" s="4">
        <f t="shared" si="77"/>
        <v>2.2247385876585688</v>
      </c>
      <c r="EN18" s="4">
        <f t="shared" si="77"/>
        <v>3.1279462988113211</v>
      </c>
      <c r="EO18" s="4">
        <f t="shared" si="77"/>
        <v>-1.7723292076392994</v>
      </c>
      <c r="EQ18" s="4">
        <f t="shared" si="67"/>
        <v>0</v>
      </c>
      <c r="ER18" s="4">
        <f t="shared" si="68"/>
        <v>4.3407652540925197</v>
      </c>
      <c r="ES18" s="4">
        <f t="shared" si="69"/>
        <v>0.5412232171492215</v>
      </c>
      <c r="ET18" s="4">
        <f t="shared" si="70"/>
        <v>0.23844388821132673</v>
      </c>
      <c r="EU18" s="4">
        <f t="shared" si="71"/>
        <v>2.2928252310065411</v>
      </c>
      <c r="EV18" s="4">
        <f t="shared" si="72"/>
        <v>0</v>
      </c>
      <c r="EW18" s="4">
        <f t="shared" si="73"/>
        <v>2.8358429798704634</v>
      </c>
      <c r="EX18" s="4">
        <f t="shared" si="74"/>
        <v>2.2247385876585688</v>
      </c>
      <c r="EY18" s="4">
        <f t="shared" si="75"/>
        <v>3.1279462988113211</v>
      </c>
      <c r="EZ18" s="4">
        <f t="shared" si="76"/>
        <v>0</v>
      </c>
    </row>
    <row r="19" spans="1:156" ht="16.5" customHeight="1">
      <c r="A19" s="2">
        <f t="shared" si="14"/>
        <v>18</v>
      </c>
      <c r="B19" s="9" t="s">
        <v>887</v>
      </c>
      <c r="C19" s="9"/>
      <c r="D19" s="9"/>
      <c r="E19" s="9"/>
      <c r="F19" s="9"/>
      <c r="G19" s="9"/>
      <c r="I19" s="15" t="s">
        <v>40</v>
      </c>
      <c r="J19" s="15">
        <v>17</v>
      </c>
      <c r="K19" s="4">
        <v>1.2370699999999999</v>
      </c>
      <c r="L19" s="4">
        <v>0.70755000000000001</v>
      </c>
      <c r="M19" s="4">
        <v>-0.141793</v>
      </c>
      <c r="N19" s="4">
        <v>-0.13388700000000001</v>
      </c>
      <c r="O19" s="4">
        <v>-0.74248899999999995</v>
      </c>
      <c r="P19" s="4">
        <v>-4.3855999999999999E-2</v>
      </c>
      <c r="Q19" s="4">
        <v>0.218113</v>
      </c>
      <c r="R19" s="4">
        <v>-0.59445700000000001</v>
      </c>
      <c r="S19" s="4">
        <v>-0.70255400000000001</v>
      </c>
      <c r="T19" s="4">
        <v>-0.60056500000000002</v>
      </c>
      <c r="V19" s="19" t="s">
        <v>1231</v>
      </c>
      <c r="W19" s="21"/>
      <c r="X19" s="21"/>
      <c r="Y19" s="21"/>
      <c r="Z19" s="21"/>
      <c r="AA19" s="21"/>
      <c r="AB19" s="21"/>
      <c r="AC19" s="21"/>
      <c r="AD19" s="19" t="s">
        <v>1207</v>
      </c>
      <c r="AE19" s="21"/>
      <c r="AF19" s="21"/>
      <c r="AG19" s="19" t="s">
        <v>1207</v>
      </c>
      <c r="AH19" s="19"/>
      <c r="AI19" s="18"/>
      <c r="AJ19" s="23"/>
      <c r="AK19" s="16"/>
      <c r="AL19" s="16"/>
      <c r="AM19" s="16"/>
      <c r="AN19" s="16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H19" s="5">
        <v>-0.16000800000000001</v>
      </c>
      <c r="BI19" s="5">
        <v>-0.151006</v>
      </c>
      <c r="BJ19" s="5">
        <v>-2.2998999999999999E-2</v>
      </c>
      <c r="BK19" s="5">
        <v>0.121258</v>
      </c>
      <c r="BL19" s="5">
        <v>0.41912100000000002</v>
      </c>
      <c r="BM19" s="5">
        <v>0.35273599999999999</v>
      </c>
      <c r="BN19" s="5">
        <v>-0.163767</v>
      </c>
      <c r="BO19" s="5">
        <v>-1.5512E-2</v>
      </c>
      <c r="BP19" s="5">
        <v>3.0669999999999998E-3</v>
      </c>
      <c r="BQ19" s="5">
        <v>-3.9140000000000001E-2</v>
      </c>
      <c r="BR19" s="5"/>
      <c r="BS19" s="4">
        <v>-0.84370795320400016</v>
      </c>
      <c r="BT19" s="4">
        <v>1.5955592856509999</v>
      </c>
      <c r="BU19" s="4">
        <v>-0.76214365132500017</v>
      </c>
      <c r="BV19" s="4">
        <v>-0.11506288199999981</v>
      </c>
      <c r="BW19" s="4">
        <v>0.33412427404599998</v>
      </c>
      <c r="BX19" s="4"/>
      <c r="BZ19" s="5">
        <v>-0.24135200000000001</v>
      </c>
      <c r="CA19" s="5">
        <v>-0.163239</v>
      </c>
      <c r="CB19" s="5">
        <v>0.23438200000000001</v>
      </c>
      <c r="CC19" s="5">
        <v>0.31774599999999997</v>
      </c>
      <c r="CD19" s="5">
        <v>0.31700400000000001</v>
      </c>
      <c r="CE19" s="5">
        <v>0.20169300000000001</v>
      </c>
      <c r="CF19" s="5">
        <v>0.24546100000000001</v>
      </c>
      <c r="CG19" s="5">
        <v>-0.71097999999999995</v>
      </c>
      <c r="CH19" s="5">
        <v>7.2160000000000002E-3</v>
      </c>
      <c r="CI19" s="5">
        <v>0.36713200000000001</v>
      </c>
      <c r="CJ19" s="5"/>
      <c r="CK19" s="4">
        <v>0.539791617828</v>
      </c>
      <c r="CL19" s="4">
        <v>-1.1621132633760005</v>
      </c>
      <c r="CM19" s="4">
        <v>-0.90040981338399984</v>
      </c>
      <c r="CN19" s="4">
        <v>2.259279377101</v>
      </c>
      <c r="CO19" s="4">
        <v>-0.68143548702900014</v>
      </c>
      <c r="CQ19" s="4">
        <v>0.4650118357506634</v>
      </c>
      <c r="CR19" s="4">
        <v>0.22346329138823043</v>
      </c>
      <c r="CS19" s="4">
        <v>-0.44365121644600269</v>
      </c>
      <c r="CT19" s="4">
        <v>0.8135174746786189</v>
      </c>
      <c r="CU19" s="4">
        <v>0.24321220675256924</v>
      </c>
      <c r="CV19" s="4"/>
      <c r="CX19" s="4"/>
      <c r="CY19" s="4"/>
      <c r="CZ19" s="4"/>
      <c r="DA19" s="4"/>
      <c r="DB19" s="4"/>
      <c r="DJ19" s="5">
        <v>0.34065099999999998</v>
      </c>
      <c r="DK19" s="5">
        <v>-0.39688600000000002</v>
      </c>
      <c r="DL19" s="5">
        <v>0.237207</v>
      </c>
      <c r="DM19" s="5">
        <v>-0.206507</v>
      </c>
      <c r="DN19" s="5">
        <v>-0.59980599999999995</v>
      </c>
      <c r="DO19" s="5">
        <v>0.31866299999999997</v>
      </c>
      <c r="DP19" s="5">
        <v>-0.34490199999999999</v>
      </c>
      <c r="DQ19" s="5">
        <v>-0.10630100000000001</v>
      </c>
      <c r="DR19" s="5">
        <v>0.16106500000000001</v>
      </c>
      <c r="DS19" s="5">
        <v>-4.1882999999999997E-2</v>
      </c>
      <c r="DU19" s="4">
        <v>-2.4528111304961859</v>
      </c>
      <c r="DV19" s="4">
        <v>4.0632526623020331</v>
      </c>
      <c r="DW19" s="4">
        <v>-4.2643159559939559</v>
      </c>
      <c r="DX19" s="4">
        <v>1.1977803976683439</v>
      </c>
      <c r="DY19" s="4">
        <v>0.54847002914328247</v>
      </c>
      <c r="DZ19" s="4">
        <v>4.3288944189515091</v>
      </c>
      <c r="EA19" s="4">
        <v>7.3316992232697693</v>
      </c>
      <c r="EB19" s="4">
        <v>9.6989778834361893</v>
      </c>
      <c r="EC19" s="4">
        <v>10.838264512053275</v>
      </c>
      <c r="ED19" s="4">
        <v>-0.29617382376398593</v>
      </c>
      <c r="EE19" s="4"/>
      <c r="EF19" s="4">
        <f t="shared" ref="EF19:EO19" si="78">DU$19+DJ$27</f>
        <v>-2.5276141304961861</v>
      </c>
      <c r="EG19" s="4">
        <f t="shared" si="78"/>
        <v>4.5160516623020328</v>
      </c>
      <c r="EH19" s="4">
        <f t="shared" si="78"/>
        <v>-4.314203955993956</v>
      </c>
      <c r="EI19" s="4">
        <f t="shared" si="78"/>
        <v>1.1352513976683438</v>
      </c>
      <c r="EJ19" s="4">
        <f t="shared" si="78"/>
        <v>0.71173802914328244</v>
      </c>
      <c r="EK19" s="4">
        <f t="shared" si="78"/>
        <v>4.4035364189515089</v>
      </c>
      <c r="EL19" s="4">
        <f t="shared" si="78"/>
        <v>7.4117632232697694</v>
      </c>
      <c r="EM19" s="4">
        <f t="shared" si="78"/>
        <v>10.04290488343619</v>
      </c>
      <c r="EN19" s="4">
        <f t="shared" si="78"/>
        <v>11.056625512053275</v>
      </c>
      <c r="EO19" s="4">
        <f t="shared" si="78"/>
        <v>-0.26033082376398592</v>
      </c>
      <c r="EP19" s="4"/>
      <c r="EQ19" s="4">
        <f t="shared" si="67"/>
        <v>0</v>
      </c>
      <c r="ER19" s="4">
        <f t="shared" si="68"/>
        <v>4.5160516623020328</v>
      </c>
      <c r="ES19" s="4">
        <f t="shared" si="69"/>
        <v>0</v>
      </c>
      <c r="ET19" s="4">
        <f t="shared" si="70"/>
        <v>1.1352513976683438</v>
      </c>
      <c r="EU19" s="4">
        <f t="shared" si="71"/>
        <v>0.71173802914328244</v>
      </c>
      <c r="EV19" s="4">
        <f t="shared" si="72"/>
        <v>4.4035364189515089</v>
      </c>
      <c r="EW19" s="4">
        <f t="shared" si="73"/>
        <v>7.4117632232697694</v>
      </c>
      <c r="EX19" s="4">
        <f t="shared" si="74"/>
        <v>10.04290488343619</v>
      </c>
      <c r="EY19" s="4">
        <f t="shared" si="75"/>
        <v>11.056625512053275</v>
      </c>
      <c r="EZ19" s="4">
        <f t="shared" si="76"/>
        <v>0</v>
      </c>
    </row>
    <row r="20" spans="1:156" ht="18" customHeight="1">
      <c r="A20" s="2">
        <f t="shared" si="14"/>
        <v>19</v>
      </c>
      <c r="B20" s="9" t="s">
        <v>888</v>
      </c>
      <c r="C20" s="9"/>
      <c r="D20" s="9"/>
      <c r="E20" s="9"/>
      <c r="F20" s="9"/>
      <c r="G20" s="9"/>
      <c r="I20" s="15" t="s">
        <v>41</v>
      </c>
      <c r="J20" s="15">
        <v>18</v>
      </c>
      <c r="K20" s="4">
        <v>0.96485500000000002</v>
      </c>
      <c r="L20" s="4">
        <v>-0.85985800000000001</v>
      </c>
      <c r="M20" s="4">
        <v>-0.68117300000000003</v>
      </c>
      <c r="N20" s="4">
        <v>0.28315200000000001</v>
      </c>
      <c r="O20" s="4">
        <v>0.90523600000000004</v>
      </c>
      <c r="P20" s="4">
        <v>-0.36499599999999999</v>
      </c>
      <c r="Q20" s="4">
        <v>0.39160699999999998</v>
      </c>
      <c r="R20" s="4">
        <v>1.5508249999999999</v>
      </c>
      <c r="S20" s="4">
        <v>0.61696200000000001</v>
      </c>
      <c r="T20" s="4">
        <v>1.426137</v>
      </c>
      <c r="V20" s="19" t="s">
        <v>1229</v>
      </c>
      <c r="W20" s="21"/>
      <c r="X20" s="21"/>
      <c r="Y20" s="21"/>
      <c r="Z20" s="21"/>
      <c r="AA20" s="21"/>
      <c r="AB20" s="21"/>
      <c r="AC20" s="21"/>
      <c r="AD20" s="19" t="s">
        <v>1209</v>
      </c>
      <c r="AE20" s="19"/>
      <c r="AF20" s="21"/>
      <c r="AG20" s="19" t="s">
        <v>1209</v>
      </c>
      <c r="AH20" s="19"/>
      <c r="AI20" s="18"/>
      <c r="AJ20" s="23"/>
      <c r="AK20" s="16"/>
      <c r="AL20" s="16"/>
      <c r="AM20" s="16"/>
      <c r="AN20" s="16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4">
        <v>-2.6034088916990004</v>
      </c>
      <c r="BT20" s="4">
        <v>-0.17798366599900037</v>
      </c>
      <c r="BU20" s="4">
        <v>0.79240091665900014</v>
      </c>
      <c r="BV20" s="4">
        <v>2.2740971758560002</v>
      </c>
      <c r="BW20" s="4">
        <v>-0.3904285488280001</v>
      </c>
      <c r="BX20" s="4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4">
        <v>1.052678632826</v>
      </c>
      <c r="CL20" s="4">
        <v>-0.88646275388300044</v>
      </c>
      <c r="CM20" s="4">
        <v>-2.8291770563109999</v>
      </c>
      <c r="CN20" s="4">
        <v>-0.57330700737799989</v>
      </c>
      <c r="CO20" s="4">
        <v>-2.9803487447139996</v>
      </c>
      <c r="CQ20" s="4">
        <v>1.4176665198583267</v>
      </c>
      <c r="CR20" s="4">
        <v>0.71649932463547794</v>
      </c>
      <c r="CS20" s="4">
        <v>-0.27527322458062004</v>
      </c>
      <c r="CT20" s="4">
        <v>1.6160924559784593</v>
      </c>
      <c r="CU20" s="4">
        <v>0.59081284739208029</v>
      </c>
      <c r="CV20" s="4"/>
      <c r="DJ20" s="5">
        <v>0.48318899999999998</v>
      </c>
      <c r="DK20" s="5">
        <v>-0.62163000000000002</v>
      </c>
      <c r="DL20" s="5">
        <v>0.164547</v>
      </c>
      <c r="DM20" s="5">
        <v>-0.198321</v>
      </c>
      <c r="DN20" s="5">
        <v>0.197906</v>
      </c>
      <c r="DO20" s="5">
        <v>-0.104755</v>
      </c>
      <c r="DP20" s="5">
        <v>0.40782600000000002</v>
      </c>
      <c r="DQ20" s="5">
        <v>-8.5972000000000007E-2</v>
      </c>
      <c r="DR20" s="5">
        <v>-6.1988000000000001E-2</v>
      </c>
      <c r="DS20" s="5">
        <v>-0.29327799999999998</v>
      </c>
      <c r="DU20" s="4">
        <v>-1.5552910469838563</v>
      </c>
      <c r="DV20" s="4">
        <v>9.6611706123609697E-2</v>
      </c>
      <c r="DW20" s="4">
        <v>-3.8923410202113593</v>
      </c>
      <c r="DX20" s="4">
        <v>1.4185191079384047</v>
      </c>
      <c r="DY20" s="4">
        <v>-1.0813458538225984</v>
      </c>
      <c r="DZ20" s="4">
        <v>4.6864358854094146</v>
      </c>
      <c r="EA20" s="4">
        <v>3.9940684217311828</v>
      </c>
      <c r="EB20" s="4">
        <v>6.115048755548333</v>
      </c>
      <c r="EC20" s="4">
        <v>6.1497695047779191</v>
      </c>
      <c r="ED20" s="4">
        <v>1.898636502457689</v>
      </c>
      <c r="EE20" s="4"/>
      <c r="EF20" s="4">
        <f t="shared" ref="EF20:EO20" si="79">DU$20+DJ$27</f>
        <v>-1.6300940469838563</v>
      </c>
      <c r="EG20" s="4">
        <f t="shared" si="79"/>
        <v>0.54941070612360976</v>
      </c>
      <c r="EH20" s="4">
        <f t="shared" si="79"/>
        <v>-3.9422290202113595</v>
      </c>
      <c r="EI20" s="4">
        <f t="shared" si="79"/>
        <v>1.3559901079384047</v>
      </c>
      <c r="EJ20" s="4">
        <f t="shared" si="79"/>
        <v>-0.91807785382259843</v>
      </c>
      <c r="EK20" s="4">
        <f t="shared" si="79"/>
        <v>4.7610778854094145</v>
      </c>
      <c r="EL20" s="4">
        <f t="shared" si="79"/>
        <v>4.074132421731183</v>
      </c>
      <c r="EM20" s="4">
        <f t="shared" si="79"/>
        <v>6.4589757555483329</v>
      </c>
      <c r="EN20" s="4">
        <f t="shared" si="79"/>
        <v>6.3681305047779189</v>
      </c>
      <c r="EO20" s="4">
        <f t="shared" si="79"/>
        <v>1.9344795024576891</v>
      </c>
      <c r="EP20" s="4"/>
      <c r="EQ20" s="4">
        <f t="shared" si="67"/>
        <v>0</v>
      </c>
      <c r="ER20" s="4">
        <f t="shared" si="68"/>
        <v>0.54941070612360976</v>
      </c>
      <c r="ES20" s="4">
        <f t="shared" si="69"/>
        <v>0</v>
      </c>
      <c r="ET20" s="4">
        <f t="shared" si="70"/>
        <v>1.3559901079384047</v>
      </c>
      <c r="EU20" s="4">
        <f t="shared" si="71"/>
        <v>0</v>
      </c>
      <c r="EV20" s="4">
        <f t="shared" si="72"/>
        <v>4.7610778854094145</v>
      </c>
      <c r="EW20" s="4">
        <f t="shared" si="73"/>
        <v>4.074132421731183</v>
      </c>
      <c r="EX20" s="4">
        <f t="shared" si="74"/>
        <v>6.4589757555483329</v>
      </c>
      <c r="EY20" s="4">
        <f t="shared" si="75"/>
        <v>6.3681305047779189</v>
      </c>
      <c r="EZ20" s="4">
        <f t="shared" si="76"/>
        <v>1.9344795024576891</v>
      </c>
    </row>
    <row r="21" spans="1:156" ht="16.5" customHeight="1">
      <c r="A21" s="2">
        <f t="shared" si="14"/>
        <v>20</v>
      </c>
      <c r="B21" s="9" t="s">
        <v>889</v>
      </c>
      <c r="C21" s="9"/>
      <c r="D21" s="9"/>
      <c r="E21" s="9"/>
      <c r="F21" s="9"/>
      <c r="G21" s="9"/>
      <c r="I21" s="15" t="s">
        <v>42</v>
      </c>
      <c r="J21" s="15">
        <v>19</v>
      </c>
      <c r="K21" s="4">
        <v>-1.314891</v>
      </c>
      <c r="L21" s="4">
        <v>0.93720899999999996</v>
      </c>
      <c r="M21" s="4">
        <v>-0.66465799999999997</v>
      </c>
      <c r="N21" s="4">
        <v>0.18506</v>
      </c>
      <c r="O21" s="4">
        <v>-0.51661299999999999</v>
      </c>
      <c r="P21" s="4">
        <v>1.989123</v>
      </c>
      <c r="Q21" s="4">
        <v>0.99319400000000002</v>
      </c>
      <c r="R21" s="4">
        <v>0.86855899999999997</v>
      </c>
      <c r="S21" s="4">
        <v>0.63651400000000002</v>
      </c>
      <c r="T21" s="4">
        <v>-1.2514460000000001</v>
      </c>
      <c r="V21" s="19" t="s">
        <v>1232</v>
      </c>
      <c r="W21" s="21"/>
      <c r="X21" s="21"/>
      <c r="Y21" s="21"/>
      <c r="Z21" s="21"/>
      <c r="AA21" s="21"/>
      <c r="AB21" s="21"/>
      <c r="AC21" s="21"/>
      <c r="AD21" s="19" t="s">
        <v>1204</v>
      </c>
      <c r="AE21" s="19"/>
      <c r="AF21" s="21"/>
      <c r="AG21" s="19" t="s">
        <v>1204</v>
      </c>
      <c r="AH21" s="19"/>
      <c r="AI21" s="18"/>
      <c r="AJ21" s="23"/>
      <c r="AK21" s="16"/>
      <c r="AL21" s="16"/>
      <c r="AM21" s="16"/>
      <c r="AN21" s="16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4">
        <v>-1.6847636157849999</v>
      </c>
      <c r="BT21" s="4">
        <v>-0.9096134339619999</v>
      </c>
      <c r="BU21" s="4">
        <v>1.3940993194349998</v>
      </c>
      <c r="BV21" s="4">
        <v>5.2247308865999875E-2</v>
      </c>
      <c r="BW21" s="4">
        <v>0.68532383261699992</v>
      </c>
      <c r="BX21" s="4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4">
        <v>1.8147388891509997</v>
      </c>
      <c r="CL21" s="4">
        <v>-2.011693821922</v>
      </c>
      <c r="CM21" s="4">
        <v>-3.2327158424959999</v>
      </c>
      <c r="CN21" s="4">
        <v>4.6580499378029998</v>
      </c>
      <c r="CO21" s="4">
        <v>-0.29468484184000004</v>
      </c>
      <c r="CQ21" s="4">
        <v>0.55923677596907173</v>
      </c>
      <c r="CR21" s="4">
        <v>0.26829893041613051</v>
      </c>
      <c r="CS21" s="4">
        <v>-0.49216639945169105</v>
      </c>
      <c r="CT21" s="4">
        <v>0.66600782909120015</v>
      </c>
      <c r="CU21" s="4">
        <v>0.1287242348517233</v>
      </c>
      <c r="CV21" s="4"/>
      <c r="DJ21" s="5">
        <v>-0.24496200000000001</v>
      </c>
      <c r="DK21" s="5">
        <v>0.315691</v>
      </c>
      <c r="DL21" s="5">
        <v>0.18348100000000001</v>
      </c>
      <c r="DM21" s="5">
        <v>-0.15954399999999999</v>
      </c>
      <c r="DN21" s="5">
        <v>-0.18257999999999999</v>
      </c>
      <c r="DO21" s="5">
        <v>0.56523199999999996</v>
      </c>
      <c r="DP21" s="5">
        <v>-0.72742600000000002</v>
      </c>
      <c r="DQ21" s="5">
        <v>0.48380200000000001</v>
      </c>
      <c r="DR21" s="5">
        <v>0.27246199999999998</v>
      </c>
      <c r="DS21" s="5">
        <v>0.234789</v>
      </c>
      <c r="DU21" s="4">
        <v>-2.5614528468082396</v>
      </c>
      <c r="DV21" s="4">
        <v>1.4819254345175041</v>
      </c>
      <c r="DW21" s="4">
        <v>-5.5002668278946194</v>
      </c>
      <c r="DX21" s="4">
        <v>2.0684681096791393</v>
      </c>
      <c r="DY21" s="4">
        <v>-0.94749049021639853</v>
      </c>
      <c r="DZ21" s="4">
        <v>6.4455212064933969</v>
      </c>
      <c r="EA21" s="4">
        <v>6.9177328262874864</v>
      </c>
      <c r="EB21" s="4">
        <v>9.7297805644925752</v>
      </c>
      <c r="EC21" s="4">
        <v>10.197529879801348</v>
      </c>
      <c r="ED21" s="4">
        <v>2.1112883222709851</v>
      </c>
      <c r="EF21" s="4">
        <f>DU$21+DJ$27</f>
        <v>-2.6362558468082398</v>
      </c>
      <c r="EG21" s="4">
        <f t="shared" ref="EG21:EO21" si="80">DV$21+DK$27</f>
        <v>1.9347244345175041</v>
      </c>
      <c r="EH21" s="4">
        <f t="shared" si="80"/>
        <v>-5.5501548278946196</v>
      </c>
      <c r="EI21" s="4">
        <f t="shared" si="80"/>
        <v>2.0059391096791392</v>
      </c>
      <c r="EJ21" s="4">
        <f t="shared" si="80"/>
        <v>-0.78422249021639856</v>
      </c>
      <c r="EK21" s="4">
        <f t="shared" si="80"/>
        <v>6.5201632064933968</v>
      </c>
      <c r="EL21" s="4">
        <f t="shared" si="80"/>
        <v>6.9977968262874866</v>
      </c>
      <c r="EM21" s="4">
        <f t="shared" si="80"/>
        <v>10.073707564492576</v>
      </c>
      <c r="EN21" s="4">
        <f t="shared" si="80"/>
        <v>10.415890879801347</v>
      </c>
      <c r="EO21" s="4">
        <f t="shared" si="80"/>
        <v>2.1471313222709849</v>
      </c>
      <c r="EP21" s="4"/>
      <c r="EQ21" s="4">
        <f t="shared" si="67"/>
        <v>0</v>
      </c>
      <c r="ER21" s="4">
        <f t="shared" si="68"/>
        <v>1.9347244345175041</v>
      </c>
      <c r="ES21" s="4">
        <f t="shared" si="69"/>
        <v>0</v>
      </c>
      <c r="ET21" s="4">
        <f t="shared" si="70"/>
        <v>2.0059391096791392</v>
      </c>
      <c r="EU21" s="4">
        <f t="shared" si="71"/>
        <v>0</v>
      </c>
      <c r="EV21" s="4">
        <f t="shared" si="72"/>
        <v>6.5201632064933968</v>
      </c>
      <c r="EW21" s="4">
        <f t="shared" si="73"/>
        <v>6.9977968262874866</v>
      </c>
      <c r="EX21" s="4">
        <f t="shared" si="74"/>
        <v>10.073707564492576</v>
      </c>
      <c r="EY21" s="4">
        <f t="shared" si="75"/>
        <v>10.415890879801347</v>
      </c>
      <c r="EZ21" s="4">
        <f t="shared" si="76"/>
        <v>2.1471313222709849</v>
      </c>
    </row>
    <row r="22" spans="1:156" ht="16.5" customHeight="1">
      <c r="A22" s="2">
        <f t="shared" si="14"/>
        <v>21</v>
      </c>
      <c r="B22" s="9" t="s">
        <v>890</v>
      </c>
      <c r="C22" s="9"/>
      <c r="D22" s="9"/>
      <c r="E22" s="9"/>
      <c r="F22" s="9"/>
      <c r="G22" s="9"/>
      <c r="I22" s="15" t="s">
        <v>43</v>
      </c>
      <c r="J22" s="15">
        <v>20</v>
      </c>
      <c r="K22" s="4">
        <v>0.40163300000000002</v>
      </c>
      <c r="L22" s="4">
        <v>-1.004664</v>
      </c>
      <c r="M22" s="4">
        <v>1.1607829999999999</v>
      </c>
      <c r="N22" s="4">
        <v>-0.62997300000000001</v>
      </c>
      <c r="O22" s="4">
        <v>0.34527099999999999</v>
      </c>
      <c r="P22" s="4">
        <v>-0.62512900000000005</v>
      </c>
      <c r="Q22" s="4">
        <v>-1.235101</v>
      </c>
      <c r="R22" s="4">
        <v>-2.2493470000000002</v>
      </c>
      <c r="S22" s="4">
        <v>0.52553399999999995</v>
      </c>
      <c r="T22" s="4">
        <v>-0.91892200000000002</v>
      </c>
      <c r="V22" s="19" t="s">
        <v>1233</v>
      </c>
      <c r="W22" s="21"/>
      <c r="X22" s="21"/>
      <c r="Y22" s="21"/>
      <c r="Z22" s="21"/>
      <c r="AA22" s="21"/>
      <c r="AB22" s="21"/>
      <c r="AC22" s="21"/>
      <c r="AD22" s="19" t="s">
        <v>1209</v>
      </c>
      <c r="AE22" s="19"/>
      <c r="AF22" s="21"/>
      <c r="AG22" s="19" t="s">
        <v>1209</v>
      </c>
      <c r="AH22" s="19"/>
      <c r="AI22" s="18"/>
      <c r="AJ22" s="23"/>
      <c r="AK22" s="16"/>
      <c r="AL22" s="16"/>
      <c r="AM22" s="16"/>
      <c r="AN22" s="16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4">
        <v>-0.11412045752699998</v>
      </c>
      <c r="BT22" s="4">
        <v>-1.5921186303339998</v>
      </c>
      <c r="BU22" s="4">
        <v>0.64955027196799997</v>
      </c>
      <c r="BV22" s="4">
        <v>-0.35606203802400005</v>
      </c>
      <c r="BW22" s="4">
        <v>0.28019059734099999</v>
      </c>
      <c r="BX22" s="4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4">
        <v>-0.38640365730699999</v>
      </c>
      <c r="CL22" s="4">
        <v>0.97265253862000034</v>
      </c>
      <c r="CM22" s="4">
        <v>0.79819615752099993</v>
      </c>
      <c r="CN22" s="4">
        <v>-0.28527374794500016</v>
      </c>
      <c r="CO22" s="4">
        <v>0.44384394694400009</v>
      </c>
      <c r="CQ22" s="4">
        <v>0.32442338723375092</v>
      </c>
      <c r="CR22" s="4">
        <v>-4.7554606523145193E-2</v>
      </c>
      <c r="CS22" s="4">
        <v>-0.64602985542153069</v>
      </c>
      <c r="CT22" s="4">
        <v>0.54013851111251465</v>
      </c>
      <c r="CU22" s="4">
        <v>1.9765571054458739E-2</v>
      </c>
      <c r="DJ22" s="5">
        <v>0.54355600000000004</v>
      </c>
      <c r="DK22" s="5">
        <v>-0.28430899999999998</v>
      </c>
      <c r="DL22" s="5">
        <v>0.29394799999999999</v>
      </c>
      <c r="DM22" s="5">
        <v>-0.12672900000000001</v>
      </c>
      <c r="DN22" s="5">
        <v>-0.17609</v>
      </c>
      <c r="DO22" s="5">
        <v>0.288933</v>
      </c>
      <c r="DP22" s="5">
        <v>0.55957400000000002</v>
      </c>
      <c r="DQ22" s="5">
        <v>9.0541999999999997E-2</v>
      </c>
      <c r="DR22" s="5">
        <v>-9.9584000000000006E-2</v>
      </c>
      <c r="DS22" s="5">
        <v>0.26545600000000003</v>
      </c>
      <c r="DU22" s="4">
        <v>-0.44039780906821235</v>
      </c>
      <c r="DV22" s="4">
        <v>4.8393503231266681</v>
      </c>
      <c r="DW22" s="4">
        <v>1.0766150907254981</v>
      </c>
      <c r="DX22" s="4">
        <v>0.62997920162814691</v>
      </c>
      <c r="DY22" s="4">
        <v>2.8228924153391977</v>
      </c>
      <c r="DZ22" s="4">
        <v>-1.7756874435824379</v>
      </c>
      <c r="EA22" s="4">
        <v>3.4007894075906022</v>
      </c>
      <c r="EB22" s="4">
        <v>1.6417579501705952</v>
      </c>
      <c r="EC22" s="4">
        <v>3.4965581852479195</v>
      </c>
      <c r="ED22" s="4">
        <v>-1.9795536352400895</v>
      </c>
      <c r="EF22" s="4">
        <f>DU$22+DJ$27</f>
        <v>-0.51520080906821231</v>
      </c>
      <c r="EG22" s="4">
        <f t="shared" ref="EG22:EO22" si="81">DV$22+DK$27</f>
        <v>5.2921493231266679</v>
      </c>
      <c r="EH22" s="4">
        <f t="shared" si="81"/>
        <v>1.0267270907254982</v>
      </c>
      <c r="EI22" s="4">
        <f t="shared" si="81"/>
        <v>0.56745020162814686</v>
      </c>
      <c r="EJ22" s="4">
        <f t="shared" si="81"/>
        <v>2.9861604153391976</v>
      </c>
      <c r="EK22" s="4">
        <f t="shared" si="81"/>
        <v>-1.7010454435824378</v>
      </c>
      <c r="EL22" s="4">
        <f t="shared" si="81"/>
        <v>3.4808534075906024</v>
      </c>
      <c r="EM22" s="4">
        <f t="shared" si="81"/>
        <v>1.9856849501705951</v>
      </c>
      <c r="EN22" s="4">
        <f t="shared" si="81"/>
        <v>3.7149191852479193</v>
      </c>
      <c r="EO22" s="4">
        <f t="shared" si="81"/>
        <v>-1.9437106352400895</v>
      </c>
      <c r="EP22" s="4"/>
      <c r="EQ22" s="4">
        <f t="shared" si="67"/>
        <v>0</v>
      </c>
      <c r="ER22" s="4">
        <f t="shared" si="68"/>
        <v>5.2921493231266679</v>
      </c>
      <c r="ES22" s="4">
        <f t="shared" si="69"/>
        <v>1.0267270907254982</v>
      </c>
      <c r="ET22" s="4">
        <f t="shared" si="70"/>
        <v>0.56745020162814686</v>
      </c>
      <c r="EU22" s="4">
        <f t="shared" si="71"/>
        <v>2.9861604153391976</v>
      </c>
      <c r="EV22" s="4">
        <f t="shared" si="72"/>
        <v>0</v>
      </c>
      <c r="EW22" s="4">
        <f t="shared" si="73"/>
        <v>3.4808534075906024</v>
      </c>
      <c r="EX22" s="4">
        <f t="shared" si="74"/>
        <v>1.9856849501705951</v>
      </c>
      <c r="EY22" s="4">
        <f t="shared" si="75"/>
        <v>3.7149191852479193</v>
      </c>
      <c r="EZ22" s="4">
        <f t="shared" si="76"/>
        <v>0</v>
      </c>
    </row>
    <row r="23" spans="1:156" ht="16.5" customHeight="1">
      <c r="A23" s="2">
        <f t="shared" si="14"/>
        <v>22</v>
      </c>
      <c r="B23" s="9" t="s">
        <v>891</v>
      </c>
      <c r="C23" s="9"/>
      <c r="D23" s="9"/>
      <c r="E23" s="9"/>
      <c r="F23" s="9"/>
      <c r="G23" s="9"/>
      <c r="I23" s="15" t="s">
        <v>44</v>
      </c>
      <c r="J23" s="15">
        <v>21</v>
      </c>
      <c r="K23" s="4">
        <v>-1.287903</v>
      </c>
      <c r="L23" s="4">
        <v>-0.98874600000000001</v>
      </c>
      <c r="M23" s="4">
        <v>-0.98372800000000005</v>
      </c>
      <c r="N23" s="4">
        <v>0.77791500000000002</v>
      </c>
      <c r="O23" s="4">
        <v>-0.20819799999999999</v>
      </c>
      <c r="P23" s="4">
        <v>0.23621700000000001</v>
      </c>
      <c r="Q23" s="4">
        <v>0.64559900000000003</v>
      </c>
      <c r="R23" s="4">
        <v>-0.35680099999999998</v>
      </c>
      <c r="S23" s="4">
        <v>0.83085299999999995</v>
      </c>
      <c r="T23" s="4">
        <v>-0.61602000000000001</v>
      </c>
      <c r="V23" s="19" t="s">
        <v>1234</v>
      </c>
      <c r="W23" s="21"/>
      <c r="X23" s="21"/>
      <c r="Y23" s="21"/>
      <c r="Z23" s="21"/>
      <c r="AA23" s="21"/>
      <c r="AB23" s="21"/>
      <c r="AC23" s="21"/>
      <c r="AD23" s="19" t="s">
        <v>1209</v>
      </c>
      <c r="AE23" s="19"/>
      <c r="AF23" s="21"/>
      <c r="AG23" s="19" t="s">
        <v>1209</v>
      </c>
      <c r="AH23" s="19"/>
      <c r="AI23" s="18"/>
      <c r="AJ23" s="23"/>
      <c r="AK23" s="16"/>
      <c r="AL23" s="16"/>
      <c r="AM23" s="16"/>
      <c r="AN23" s="16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4">
        <v>0.76960968047400002</v>
      </c>
      <c r="BT23" s="4">
        <v>-0.56156676350000012</v>
      </c>
      <c r="BU23" s="4">
        <v>0.44439018014100018</v>
      </c>
      <c r="BV23" s="4">
        <v>0.30324896705399995</v>
      </c>
      <c r="BW23" s="4">
        <v>0.87670900028800014</v>
      </c>
      <c r="BX23" s="4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4">
        <v>-1.418667105755</v>
      </c>
      <c r="CL23" s="4">
        <v>0.60277354002200034</v>
      </c>
      <c r="CM23" s="4">
        <v>2.0092881488250005</v>
      </c>
      <c r="CN23" s="4">
        <v>-0.50892424122899993</v>
      </c>
      <c r="CO23" s="4">
        <v>2.5728840345990003</v>
      </c>
      <c r="CQ23" s="4">
        <v>1.1029222673943491</v>
      </c>
      <c r="CR23" s="4">
        <v>0.6979837131919262</v>
      </c>
      <c r="CS23" s="4">
        <v>-6.4897387405592893E-2</v>
      </c>
      <c r="CT23" s="4">
        <v>1.5027045473824217</v>
      </c>
      <c r="CU23" s="4">
        <v>0.82023800341317299</v>
      </c>
      <c r="DJ23" s="5">
        <v>0.199854</v>
      </c>
      <c r="DK23" s="5">
        <v>0.36750899999999997</v>
      </c>
      <c r="DL23" s="5">
        <v>-0.135381</v>
      </c>
      <c r="DM23" s="5">
        <v>0.84279700000000002</v>
      </c>
      <c r="DN23" s="5">
        <v>0.68797900000000001</v>
      </c>
      <c r="DO23" s="5">
        <v>0.13356100000000001</v>
      </c>
      <c r="DP23" s="5">
        <v>-0.14211099999999999</v>
      </c>
      <c r="DQ23" s="5">
        <v>0.64080599999999999</v>
      </c>
      <c r="DR23" s="5">
        <v>-0.62362200000000001</v>
      </c>
      <c r="DS23" s="5">
        <v>0.36280699999999999</v>
      </c>
      <c r="DU23" s="4">
        <v>0.44348127632755835</v>
      </c>
      <c r="DV23" s="4">
        <v>5.6179834680061091</v>
      </c>
      <c r="DW23" s="4">
        <v>3.3207861556320246</v>
      </c>
      <c r="DX23" s="4">
        <v>-0.17883086964213357</v>
      </c>
      <c r="DY23" s="4">
        <v>3.8725461086871094</v>
      </c>
      <c r="DZ23" s="4">
        <v>-5.0686927076696993</v>
      </c>
      <c r="EA23" s="4">
        <v>1.5805674009732331</v>
      </c>
      <c r="EB23" s="4">
        <v>-0.99394100817960584</v>
      </c>
      <c r="EC23" s="4">
        <v>0.38210301586991191</v>
      </c>
      <c r="ED23" s="4">
        <v>-3.6079017753338793</v>
      </c>
      <c r="EF23" s="4">
        <f>DU$23+DJ$27</f>
        <v>0.36867827632755834</v>
      </c>
      <c r="EG23" s="4">
        <f t="shared" ref="EG23:EO23" si="82">DV$23+DK$27</f>
        <v>6.0707824680061089</v>
      </c>
      <c r="EH23" s="4">
        <f t="shared" si="82"/>
        <v>3.2708981556320245</v>
      </c>
      <c r="EI23" s="4">
        <f t="shared" si="82"/>
        <v>-0.24135986964213357</v>
      </c>
      <c r="EJ23" s="4">
        <f t="shared" si="82"/>
        <v>4.0358141086871093</v>
      </c>
      <c r="EK23" s="4">
        <f t="shared" si="82"/>
        <v>-4.9940507076696994</v>
      </c>
      <c r="EL23" s="4">
        <f t="shared" si="82"/>
        <v>1.660631400973233</v>
      </c>
      <c r="EM23" s="4">
        <f t="shared" si="82"/>
        <v>-0.65001400817960586</v>
      </c>
      <c r="EN23" s="4">
        <f t="shared" si="82"/>
        <v>0.60046401586991194</v>
      </c>
      <c r="EO23" s="4">
        <f t="shared" si="82"/>
        <v>-3.5720587753338795</v>
      </c>
      <c r="EP23" s="4"/>
      <c r="EQ23" s="4">
        <f t="shared" si="67"/>
        <v>0.36867827632755834</v>
      </c>
      <c r="ER23" s="4">
        <f t="shared" si="68"/>
        <v>6.0707824680061089</v>
      </c>
      <c r="ES23" s="4">
        <f t="shared" si="69"/>
        <v>3.2708981556320245</v>
      </c>
      <c r="ET23" s="4">
        <f t="shared" si="70"/>
        <v>0</v>
      </c>
      <c r="EU23" s="4">
        <f t="shared" si="71"/>
        <v>4.0358141086871093</v>
      </c>
      <c r="EV23" s="4">
        <f t="shared" si="72"/>
        <v>0</v>
      </c>
      <c r="EW23" s="4">
        <f t="shared" si="73"/>
        <v>1.660631400973233</v>
      </c>
      <c r="EX23" s="4">
        <f t="shared" si="74"/>
        <v>0</v>
      </c>
      <c r="EY23" s="4">
        <f t="shared" si="75"/>
        <v>0.60046401586991194</v>
      </c>
      <c r="EZ23" s="4">
        <f t="shared" si="76"/>
        <v>0</v>
      </c>
    </row>
    <row r="24" spans="1:156" ht="16.5" customHeight="1">
      <c r="A24" s="2">
        <f t="shared" si="14"/>
        <v>23</v>
      </c>
      <c r="B24" s="9" t="s">
        <v>892</v>
      </c>
      <c r="C24" s="9"/>
      <c r="D24" s="9"/>
      <c r="E24" s="9"/>
      <c r="F24" s="9"/>
      <c r="G24" s="9"/>
      <c r="I24" s="15" t="s">
        <v>45</v>
      </c>
      <c r="J24" s="15">
        <v>22</v>
      </c>
      <c r="K24" s="4">
        <v>0.71672100000000005</v>
      </c>
      <c r="L24" s="4">
        <v>1.596384</v>
      </c>
      <c r="M24" s="4">
        <v>0.38936799999999999</v>
      </c>
      <c r="N24" s="4">
        <v>-0.67889500000000003</v>
      </c>
      <c r="O24" s="4">
        <v>0.562253</v>
      </c>
      <c r="P24" s="4">
        <v>0.111163</v>
      </c>
      <c r="Q24" s="4">
        <v>-0.29367599999999999</v>
      </c>
      <c r="R24" s="4">
        <v>2.537156</v>
      </c>
      <c r="S24" s="4">
        <v>0.146837</v>
      </c>
      <c r="T24" s="4">
        <v>-0.121642</v>
      </c>
      <c r="V24" s="19" t="s">
        <v>1235</v>
      </c>
      <c r="W24" s="21"/>
      <c r="X24" s="21"/>
      <c r="Y24" s="21"/>
      <c r="Z24" s="21"/>
      <c r="AA24" s="21"/>
      <c r="AB24" s="21"/>
      <c r="AC24" s="21"/>
      <c r="AD24" s="19" t="s">
        <v>1207</v>
      </c>
      <c r="AE24" s="19"/>
      <c r="AF24" s="21"/>
      <c r="AG24" s="19" t="s">
        <v>1207</v>
      </c>
      <c r="AH24" s="19"/>
      <c r="AI24" s="18"/>
      <c r="AJ24" s="23"/>
      <c r="AK24" s="16"/>
      <c r="AL24" s="16"/>
      <c r="AM24" s="16"/>
      <c r="AN24" s="16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4">
        <v>-0.61382764981900018</v>
      </c>
      <c r="BT24" s="4">
        <v>-2.0311945417959998</v>
      </c>
      <c r="BU24" s="4">
        <v>1.0275365094290001</v>
      </c>
      <c r="BV24" s="4">
        <v>-0.17825257176400003</v>
      </c>
      <c r="BW24" s="4">
        <v>0.39325393422900018</v>
      </c>
      <c r="BX24" s="4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4">
        <v>-0.21606943999499995</v>
      </c>
      <c r="CL24" s="4">
        <v>2.114416344126</v>
      </c>
      <c r="CM24" s="4">
        <v>0.60501175750199965</v>
      </c>
      <c r="CN24" s="4">
        <v>-2.3791054927169988</v>
      </c>
      <c r="CO24" s="4">
        <v>-6.400785243900009E-2</v>
      </c>
      <c r="CQ24" s="4">
        <v>0.22436794241715902</v>
      </c>
      <c r="CR24" s="4">
        <v>-0.545484514967149</v>
      </c>
      <c r="CS24" s="4">
        <v>-1.2850690716094799</v>
      </c>
      <c r="CT24" s="4">
        <v>0.37968205033715957</v>
      </c>
      <c r="CU24" s="4">
        <v>-0.48652781802122408</v>
      </c>
      <c r="DJ24" s="5">
        <v>-2.4836E-2</v>
      </c>
      <c r="DK24" s="5">
        <v>-0.43611299999999997</v>
      </c>
      <c r="DL24" s="5">
        <v>0.49940800000000002</v>
      </c>
      <c r="DM24" s="5">
        <v>-5.4720000000000003E-3</v>
      </c>
      <c r="DN24" s="5">
        <v>0.42321799999999998</v>
      </c>
      <c r="DO24" s="5">
        <v>0.30224099999999998</v>
      </c>
      <c r="DP24" s="5">
        <v>0.33463700000000002</v>
      </c>
      <c r="DQ24" s="5">
        <v>4.3290000000000004E-3</v>
      </c>
      <c r="DR24" s="5">
        <v>-0.460142</v>
      </c>
      <c r="DS24" s="5">
        <v>0.54654800000000003</v>
      </c>
      <c r="DU24" s="4">
        <v>-1.9249892120401997</v>
      </c>
      <c r="DV24" s="4">
        <v>3.6821976407484893</v>
      </c>
      <c r="DW24" s="4">
        <v>-3.172436992326209</v>
      </c>
      <c r="DX24" s="4">
        <v>1.0351075949109632</v>
      </c>
      <c r="DY24" s="4">
        <v>0.66989635781628332</v>
      </c>
      <c r="DZ24" s="4">
        <v>3.0216688337491622</v>
      </c>
      <c r="EA24" s="4">
        <v>5.9672848247386518</v>
      </c>
      <c r="EB24" s="4">
        <v>7.9012993621319145</v>
      </c>
      <c r="EC24" s="4">
        <v>8.3694675203113444</v>
      </c>
      <c r="ED24" s="4">
        <v>-0.37908610099212714</v>
      </c>
      <c r="EF24" s="4">
        <f>DU$24+DJ$27</f>
        <v>-1.9997922120401996</v>
      </c>
      <c r="EG24" s="4">
        <f t="shared" ref="EG24:EO24" si="83">DV$24+DK$27</f>
        <v>4.134996640748489</v>
      </c>
      <c r="EH24" s="4">
        <f t="shared" si="83"/>
        <v>-3.2223249923262092</v>
      </c>
      <c r="EI24" s="4">
        <f t="shared" si="83"/>
        <v>0.9725785949109631</v>
      </c>
      <c r="EJ24" s="4">
        <f t="shared" si="83"/>
        <v>0.83316435781628329</v>
      </c>
      <c r="EK24" s="4">
        <f t="shared" si="83"/>
        <v>3.0963108337491621</v>
      </c>
      <c r="EL24" s="4">
        <f t="shared" si="83"/>
        <v>6.047348824738652</v>
      </c>
      <c r="EM24" s="4">
        <f t="shared" si="83"/>
        <v>8.2452263621319144</v>
      </c>
      <c r="EN24" s="4">
        <f t="shared" si="83"/>
        <v>8.5878285203113442</v>
      </c>
      <c r="EO24" s="4">
        <f t="shared" si="83"/>
        <v>-0.34324310099212713</v>
      </c>
      <c r="EQ24" s="4">
        <f t="shared" si="67"/>
        <v>0</v>
      </c>
      <c r="ER24" s="4">
        <f t="shared" si="68"/>
        <v>4.134996640748489</v>
      </c>
      <c r="ES24" s="4">
        <f t="shared" si="69"/>
        <v>0</v>
      </c>
      <c r="ET24" s="4">
        <f t="shared" si="70"/>
        <v>0.9725785949109631</v>
      </c>
      <c r="EU24" s="4">
        <f t="shared" si="71"/>
        <v>0.83316435781628329</v>
      </c>
      <c r="EV24" s="4">
        <f t="shared" si="72"/>
        <v>3.0963108337491621</v>
      </c>
      <c r="EW24" s="4">
        <f t="shared" si="73"/>
        <v>6.047348824738652</v>
      </c>
      <c r="EX24" s="4">
        <f t="shared" si="74"/>
        <v>8.2452263621319144</v>
      </c>
      <c r="EY24" s="4">
        <f t="shared" si="75"/>
        <v>8.5878285203113442</v>
      </c>
      <c r="EZ24" s="4">
        <f t="shared" si="76"/>
        <v>0</v>
      </c>
    </row>
    <row r="25" spans="1:156" ht="16.5" customHeight="1">
      <c r="A25" s="2">
        <f t="shared" si="14"/>
        <v>24</v>
      </c>
      <c r="B25" s="9" t="s">
        <v>893</v>
      </c>
      <c r="C25" s="9"/>
      <c r="D25" s="9"/>
      <c r="E25" s="9"/>
      <c r="F25" s="9"/>
      <c r="G25" s="9"/>
      <c r="I25" s="15" t="s">
        <v>46</v>
      </c>
      <c r="J25" s="15">
        <v>23</v>
      </c>
      <c r="K25" s="4">
        <v>1.061507</v>
      </c>
      <c r="L25" s="4">
        <v>-7.9905000000000004E-2</v>
      </c>
      <c r="M25" s="4">
        <v>0.50682099999999997</v>
      </c>
      <c r="N25" s="4">
        <v>-2.505306</v>
      </c>
      <c r="O25" s="4">
        <v>-1.2910680000000001</v>
      </c>
      <c r="P25" s="4">
        <v>0.887212</v>
      </c>
      <c r="Q25" s="4">
        <v>-0.24181900000000001</v>
      </c>
      <c r="R25" s="4">
        <v>0.23309199999999999</v>
      </c>
      <c r="S25" s="4">
        <v>-0.87590400000000002</v>
      </c>
      <c r="T25" s="4">
        <v>5.3059000000000002E-2</v>
      </c>
      <c r="V25" s="19" t="s">
        <v>1236</v>
      </c>
      <c r="W25" s="21"/>
      <c r="X25" s="21"/>
      <c r="Y25" s="21"/>
      <c r="Z25" s="21"/>
      <c r="AA25" s="21"/>
      <c r="AB25" s="21"/>
      <c r="AC25" s="21"/>
      <c r="AD25" s="19" t="s">
        <v>1207</v>
      </c>
      <c r="AE25" s="19"/>
      <c r="AF25" s="21"/>
      <c r="AG25" s="19" t="s">
        <v>1207</v>
      </c>
      <c r="AH25" s="19"/>
      <c r="AI25" s="18"/>
      <c r="AJ25" s="23"/>
      <c r="AK25" s="16"/>
      <c r="AL25" s="16"/>
      <c r="AM25" s="16"/>
      <c r="AN25" s="16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4">
        <v>-1.6648094955379997</v>
      </c>
      <c r="BT25" s="4">
        <v>-0.16570249114600011</v>
      </c>
      <c r="BU25" s="4">
        <v>1.6356200907779999</v>
      </c>
      <c r="BV25" s="4">
        <v>2.5982599553230004</v>
      </c>
      <c r="BW25" s="4">
        <v>1.382043002182</v>
      </c>
      <c r="BX25" s="4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4">
        <v>-1.4804016352189997</v>
      </c>
      <c r="CL25" s="4">
        <v>-1.1628920289680005</v>
      </c>
      <c r="CM25" s="4">
        <v>-0.16038317613699982</v>
      </c>
      <c r="CN25" s="4">
        <v>-0.80954031567099971</v>
      </c>
      <c r="CO25" s="4">
        <v>0.74101476654400034</v>
      </c>
      <c r="CQ25" s="4">
        <v>1.5779347346277961</v>
      </c>
      <c r="CR25" s="4">
        <v>0.68115133767582814</v>
      </c>
      <c r="CS25" s="4">
        <v>-0.21993122562370374</v>
      </c>
      <c r="CT25" s="4">
        <v>1.5450085911505391</v>
      </c>
      <c r="CU25" s="4">
        <v>0.88369532106211302</v>
      </c>
      <c r="DJ25" s="5">
        <v>0.15226500000000001</v>
      </c>
      <c r="DK25" s="5">
        <v>1.5720999999999999E-2</v>
      </c>
      <c r="DL25" s="5">
        <v>-0.10571999999999999</v>
      </c>
      <c r="DM25" s="5">
        <v>-0.70121</v>
      </c>
      <c r="DN25" s="5">
        <v>-0.88000299999999998</v>
      </c>
      <c r="DO25" s="5">
        <v>0.32302799999999998</v>
      </c>
      <c r="DP25" s="5">
        <v>-0.52470700000000003</v>
      </c>
      <c r="DQ25" s="5">
        <v>0.23000999999999999</v>
      </c>
      <c r="DR25" s="5">
        <v>0.41000700000000001</v>
      </c>
      <c r="DS25" s="5">
        <v>0.33008100000000001</v>
      </c>
      <c r="DU25" s="4">
        <v>1.0218850337413157</v>
      </c>
      <c r="DV25" s="4">
        <v>3.1525397451209423</v>
      </c>
      <c r="DW25" s="4">
        <v>3.736776450668688</v>
      </c>
      <c r="DX25" s="4">
        <v>0.65133583948871443</v>
      </c>
      <c r="DY25" s="4">
        <v>3.1959975622755303</v>
      </c>
      <c r="DZ25" s="4">
        <v>-4.8647846058700539</v>
      </c>
      <c r="EA25" s="4">
        <v>0.11971821847994257</v>
      </c>
      <c r="EB25" s="4">
        <v>-4.1464208626633141</v>
      </c>
      <c r="EC25" s="4">
        <v>-2.0738704120589579</v>
      </c>
      <c r="ED25" s="4">
        <v>-1.5694859129819441</v>
      </c>
      <c r="EF25" s="4">
        <f>DU$25+DJ$27</f>
        <v>0.94708203374131572</v>
      </c>
      <c r="EG25" s="4">
        <f t="shared" ref="EG25:EO25" si="84">DV$25+DK$27</f>
        <v>3.6053387451209424</v>
      </c>
      <c r="EH25" s="4">
        <f t="shared" si="84"/>
        <v>3.6868884506686879</v>
      </c>
      <c r="EI25" s="4">
        <f t="shared" si="84"/>
        <v>0.58880683948871448</v>
      </c>
      <c r="EJ25" s="4">
        <f t="shared" si="84"/>
        <v>3.3592655622755303</v>
      </c>
      <c r="EK25" s="4">
        <f t="shared" si="84"/>
        <v>-4.790142605870054</v>
      </c>
      <c r="EL25" s="4">
        <f t="shared" si="84"/>
        <v>0.19978221847994257</v>
      </c>
      <c r="EM25" s="4">
        <f t="shared" si="84"/>
        <v>-3.8024938626633142</v>
      </c>
      <c r="EN25" s="4">
        <f t="shared" si="84"/>
        <v>-1.8555094120589579</v>
      </c>
      <c r="EO25" s="4">
        <f t="shared" si="84"/>
        <v>-1.533642912981944</v>
      </c>
      <c r="EQ25" s="4">
        <f t="shared" si="67"/>
        <v>0.94708203374131572</v>
      </c>
      <c r="ER25" s="4">
        <f t="shared" si="68"/>
        <v>3.6053387451209424</v>
      </c>
      <c r="ES25" s="4">
        <f t="shared" si="69"/>
        <v>3.6868884506686879</v>
      </c>
      <c r="ET25" s="4">
        <f t="shared" si="70"/>
        <v>0.58880683948871448</v>
      </c>
      <c r="EU25" s="4">
        <f t="shared" si="71"/>
        <v>3.3592655622755303</v>
      </c>
      <c r="EV25" s="4">
        <f t="shared" si="72"/>
        <v>0</v>
      </c>
      <c r="EW25" s="4">
        <f t="shared" si="73"/>
        <v>0.19978221847994257</v>
      </c>
      <c r="EX25" s="4">
        <f t="shared" si="74"/>
        <v>0</v>
      </c>
      <c r="EY25" s="4">
        <f t="shared" si="75"/>
        <v>0</v>
      </c>
      <c r="EZ25" s="4">
        <f t="shared" si="76"/>
        <v>0</v>
      </c>
    </row>
    <row r="26" spans="1:156" ht="16.5" customHeight="1">
      <c r="A26" s="2">
        <f t="shared" si="14"/>
        <v>25</v>
      </c>
      <c r="B26" s="9" t="s">
        <v>894</v>
      </c>
      <c r="C26" s="9"/>
      <c r="D26" s="9"/>
      <c r="E26" s="9"/>
      <c r="F26" s="9"/>
      <c r="G26" s="9"/>
      <c r="I26" s="15" t="s">
        <v>47</v>
      </c>
      <c r="J26" s="15">
        <v>24</v>
      </c>
      <c r="K26" s="4">
        <v>-0.50853499999999996</v>
      </c>
      <c r="L26" s="4">
        <v>0.62493699999999996</v>
      </c>
      <c r="M26" s="4">
        <v>-0.237757</v>
      </c>
      <c r="N26" s="4">
        <v>0.236347</v>
      </c>
      <c r="O26" s="4">
        <v>0.61618099999999998</v>
      </c>
      <c r="P26" s="4">
        <v>0.89869900000000003</v>
      </c>
      <c r="Q26" s="4">
        <v>-0.74927900000000003</v>
      </c>
      <c r="R26" s="4">
        <v>-1.2987109999999999</v>
      </c>
      <c r="S26" s="4">
        <v>0.15365899999999999</v>
      </c>
      <c r="T26" s="4">
        <v>0.30109000000000002</v>
      </c>
      <c r="V26" s="19" t="s">
        <v>1222</v>
      </c>
      <c r="W26" s="21"/>
      <c r="X26" s="21"/>
      <c r="Y26" s="21"/>
      <c r="Z26" s="21"/>
      <c r="AA26" s="21"/>
      <c r="AB26" s="21"/>
      <c r="AC26" s="21"/>
      <c r="AD26" s="19" t="s">
        <v>1208</v>
      </c>
      <c r="AE26" s="19"/>
      <c r="AF26" s="21"/>
      <c r="AG26" s="19" t="s">
        <v>1208</v>
      </c>
      <c r="AH26" s="19"/>
      <c r="AI26" s="18"/>
      <c r="AJ26" s="23"/>
      <c r="AK26" s="16"/>
      <c r="AL26" s="16"/>
      <c r="AM26" s="16"/>
      <c r="AN26" s="16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Y26" s="5"/>
      <c r="BZ26" s="5"/>
      <c r="CA26" s="5"/>
      <c r="CB26" s="5"/>
      <c r="CC26" s="5"/>
      <c r="DU26" s="4">
        <v>-2.6988966063089808</v>
      </c>
      <c r="DV26" s="4">
        <v>6.1088330850389028</v>
      </c>
      <c r="DW26" s="4">
        <v>-3.6570805071711958</v>
      </c>
      <c r="DX26" s="4">
        <v>1.5875200644138623</v>
      </c>
      <c r="DY26" s="4">
        <v>1.8165400894538106</v>
      </c>
      <c r="DZ26" s="4">
        <v>3.6734059188375134</v>
      </c>
      <c r="EA26" s="4">
        <v>8.9863319218742603</v>
      </c>
      <c r="EB26" s="4">
        <v>9.9386851902947928</v>
      </c>
      <c r="EC26" s="4">
        <v>12.515409999465673</v>
      </c>
      <c r="ED26" s="4">
        <v>-0.94168185175648356</v>
      </c>
      <c r="EF26" s="4">
        <f>DU$26+DJ$27</f>
        <v>-2.7736996063089809</v>
      </c>
      <c r="EG26" s="4">
        <f t="shared" ref="EG26:EO26" si="85">DV$26+DK$27</f>
        <v>6.5616320850389025</v>
      </c>
      <c r="EH26" s="4">
        <f t="shared" si="85"/>
        <v>-3.706968507171196</v>
      </c>
      <c r="EI26" s="4">
        <f t="shared" si="85"/>
        <v>1.5249910644138622</v>
      </c>
      <c r="EJ26" s="4">
        <f t="shared" si="85"/>
        <v>1.9798080894538106</v>
      </c>
      <c r="EK26" s="4">
        <f t="shared" si="85"/>
        <v>3.7480479188375133</v>
      </c>
      <c r="EL26" s="4">
        <f t="shared" si="85"/>
        <v>9.0663959218742605</v>
      </c>
      <c r="EM26" s="4">
        <f t="shared" si="85"/>
        <v>10.282612190294794</v>
      </c>
      <c r="EN26" s="4">
        <f t="shared" si="85"/>
        <v>12.733770999465673</v>
      </c>
      <c r="EO26" s="4">
        <f t="shared" si="85"/>
        <v>-0.9058388517564836</v>
      </c>
      <c r="EQ26" s="4">
        <f t="shared" si="67"/>
        <v>0</v>
      </c>
      <c r="ER26" s="4">
        <f t="shared" si="68"/>
        <v>6.5616320850389025</v>
      </c>
      <c r="ES26" s="4">
        <f t="shared" si="69"/>
        <v>0</v>
      </c>
      <c r="ET26" s="4">
        <f t="shared" si="70"/>
        <v>1.5249910644138622</v>
      </c>
      <c r="EU26" s="4">
        <f t="shared" si="71"/>
        <v>1.9798080894538106</v>
      </c>
      <c r="EV26" s="4">
        <f t="shared" si="72"/>
        <v>3.7480479188375133</v>
      </c>
      <c r="EW26" s="4">
        <f t="shared" si="73"/>
        <v>9.0663959218742605</v>
      </c>
      <c r="EX26" s="4">
        <f t="shared" si="74"/>
        <v>10.282612190294794</v>
      </c>
      <c r="EY26" s="4">
        <f t="shared" si="75"/>
        <v>12.733770999465673</v>
      </c>
      <c r="EZ26" s="4">
        <f t="shared" si="76"/>
        <v>0</v>
      </c>
    </row>
    <row r="27" spans="1:156" ht="18" customHeight="1">
      <c r="A27" s="2">
        <f t="shared" si="14"/>
        <v>26</v>
      </c>
      <c r="B27" s="9" t="s">
        <v>895</v>
      </c>
      <c r="C27" s="9"/>
      <c r="D27" s="9"/>
      <c r="E27" s="9"/>
      <c r="F27" s="9"/>
      <c r="G27" s="9"/>
      <c r="I27" s="15" t="s">
        <v>48</v>
      </c>
      <c r="J27" s="15">
        <v>25</v>
      </c>
      <c r="K27" s="4">
        <v>-0.82630300000000001</v>
      </c>
      <c r="L27" s="4">
        <v>-0.29087499999999999</v>
      </c>
      <c r="M27" s="4">
        <v>-0.71497299999999997</v>
      </c>
      <c r="N27" s="4">
        <v>-9.5627000000000004E-2</v>
      </c>
      <c r="O27" s="4">
        <v>0.53733500000000001</v>
      </c>
      <c r="P27" s="4">
        <v>-0.47952</v>
      </c>
      <c r="Q27" s="4">
        <v>-1.247825</v>
      </c>
      <c r="R27" s="4">
        <v>-0.14264399999999999</v>
      </c>
      <c r="S27" s="4">
        <v>-0.55881599999999998</v>
      </c>
      <c r="T27" s="4">
        <v>-0.28813499999999997</v>
      </c>
      <c r="V27" s="19" t="s">
        <v>1237</v>
      </c>
      <c r="W27" s="21"/>
      <c r="X27" s="21"/>
      <c r="Y27" s="21"/>
      <c r="Z27" s="21"/>
      <c r="AA27" s="21"/>
      <c r="AB27" s="21"/>
      <c r="AC27" s="21"/>
      <c r="AD27" s="19" t="s">
        <v>1204</v>
      </c>
      <c r="AE27" s="19"/>
      <c r="AF27" s="21"/>
      <c r="AG27" s="19" t="s">
        <v>1204</v>
      </c>
      <c r="AH27" s="19"/>
      <c r="AI27" s="18"/>
      <c r="AJ27" s="23"/>
      <c r="AK27" s="16"/>
      <c r="AL27" s="16"/>
      <c r="AM27" s="16"/>
      <c r="AN27" s="16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H27" s="2" t="s">
        <v>4</v>
      </c>
      <c r="BS27" s="2" t="s">
        <v>7</v>
      </c>
      <c r="BY27" s="6" t="s">
        <v>10</v>
      </c>
      <c r="CE27" s="6"/>
      <c r="CK27" s="6" t="s">
        <v>11</v>
      </c>
      <c r="DJ27" s="5">
        <v>-7.4802999999999994E-2</v>
      </c>
      <c r="DK27" s="5">
        <v>0.45279900000000001</v>
      </c>
      <c r="DL27" s="5">
        <v>-4.9888000000000002E-2</v>
      </c>
      <c r="DM27" s="5">
        <v>-6.2529000000000001E-2</v>
      </c>
      <c r="DN27" s="5">
        <v>0.163268</v>
      </c>
      <c r="DO27" s="5">
        <v>7.4642E-2</v>
      </c>
      <c r="DP27" s="5">
        <v>8.0063999999999996E-2</v>
      </c>
      <c r="DQ27" s="5">
        <v>0.34392699999999998</v>
      </c>
      <c r="DR27" s="5">
        <v>0.218361</v>
      </c>
      <c r="DS27" s="5">
        <v>3.5843E-2</v>
      </c>
    </row>
    <row r="28" spans="1:156" ht="18" customHeight="1">
      <c r="A28" s="2">
        <f t="shared" si="14"/>
        <v>27</v>
      </c>
      <c r="B28" s="9" t="s">
        <v>896</v>
      </c>
      <c r="C28" s="9"/>
      <c r="D28" s="9"/>
      <c r="E28" s="9"/>
      <c r="F28" s="9"/>
      <c r="G28" s="9"/>
      <c r="I28" s="15" t="s">
        <v>49</v>
      </c>
      <c r="J28" s="15">
        <v>26</v>
      </c>
      <c r="K28" s="4">
        <v>-0.67826600000000004</v>
      </c>
      <c r="L28" s="4">
        <v>-0.53618200000000005</v>
      </c>
      <c r="M28" s="4">
        <v>0.26511400000000002</v>
      </c>
      <c r="N28" s="4">
        <v>0.83813499999999996</v>
      </c>
      <c r="O28" s="4">
        <v>-0.95971799999999996</v>
      </c>
      <c r="P28" s="4">
        <v>1.0987560000000001</v>
      </c>
      <c r="Q28" s="4">
        <v>-0.20691000000000001</v>
      </c>
      <c r="R28" s="4">
        <v>1.064883</v>
      </c>
      <c r="S28" s="4">
        <v>1.130536</v>
      </c>
      <c r="T28" s="4">
        <v>0.69574100000000005</v>
      </c>
      <c r="V28" s="19" t="s">
        <v>1234</v>
      </c>
      <c r="W28" s="21"/>
      <c r="X28" s="21"/>
      <c r="Y28" s="21"/>
      <c r="Z28" s="21"/>
      <c r="AA28" s="21"/>
      <c r="AB28" s="21"/>
      <c r="AC28" s="21"/>
      <c r="AD28" s="19" t="s">
        <v>1209</v>
      </c>
      <c r="AE28" s="19"/>
      <c r="AF28" s="21"/>
      <c r="AG28" s="19" t="s">
        <v>1209</v>
      </c>
      <c r="AH28" s="19"/>
      <c r="AI28" s="18"/>
      <c r="AJ28" s="23"/>
      <c r="AK28" s="16"/>
      <c r="AL28" s="16"/>
      <c r="AM28" s="16"/>
      <c r="AN28" s="16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H28" s="5">
        <v>4.9574E-2</v>
      </c>
      <c r="BI28" s="5">
        <v>0.25890200000000002</v>
      </c>
      <c r="BJ28" s="5">
        <v>-0.15085200000000001</v>
      </c>
      <c r="BK28" s="5">
        <v>0.40897899999999998</v>
      </c>
      <c r="BL28" s="5">
        <v>2.8027E-2</v>
      </c>
      <c r="BM28" s="5">
        <v>-1.1613E-2</v>
      </c>
      <c r="BN28" s="5">
        <v>0.45026100000000002</v>
      </c>
      <c r="BO28" s="5">
        <v>-0.40152500000000002</v>
      </c>
      <c r="BP28" s="5">
        <v>0.33146199999999998</v>
      </c>
      <c r="BQ28" s="5">
        <v>-0.24917300000000001</v>
      </c>
      <c r="BR28" s="5"/>
      <c r="BS28" s="4" cm="1">
        <f t="array" ref="BS28:BW38">MMULT($AV$2:$BE$12,TRANSPOSE(BH28:BQ32))</f>
        <v>2.173187325927</v>
      </c>
      <c r="BT28" s="4">
        <v>0.91613561738399985</v>
      </c>
      <c r="BU28" s="4">
        <v>3.3562261657589998</v>
      </c>
      <c r="BV28" s="4">
        <v>-2.7879503631540001</v>
      </c>
      <c r="BW28" s="4">
        <v>1.7628955357969995</v>
      </c>
      <c r="BX28" s="4"/>
      <c r="BY28" s="4" cm="1">
        <f t="array" ref="BY28:CI38">MMULT(_xlfn.ANCHORARRAY(BS28),TRANSPOSE(_xlfn.ANCHORARRAY(BS41)))/SQRT(10)</f>
        <v>-5.749733766438184</v>
      </c>
      <c r="BZ28" s="4">
        <v>0.22318852076094028</v>
      </c>
      <c r="CA28" s="4">
        <v>2.3747903449699974</v>
      </c>
      <c r="CB28" s="4">
        <v>-0.7829578877386858</v>
      </c>
      <c r="CC28" s="4">
        <v>3.6383287385988958</v>
      </c>
      <c r="CD28" s="4">
        <v>0.28766242663687036</v>
      </c>
      <c r="CE28" s="4">
        <v>-1.3157323529660079</v>
      </c>
      <c r="CF28" s="4">
        <v>-2.0142639868817218</v>
      </c>
      <c r="CG28" s="4">
        <v>-2.5559198977538271</v>
      </c>
      <c r="CH28" s="4">
        <v>-6.3067460735630405</v>
      </c>
      <c r="CI28" s="4">
        <v>0.14448994239878915</v>
      </c>
      <c r="CK28" s="4" cm="1">
        <f t="array" ref="CK28">EXP(BY28)/SUM(EXP($BY$28:$CI$28))</f>
        <v>5.9554738628304515E-5</v>
      </c>
      <c r="CL28" s="4" cm="1">
        <f t="array" ref="CL28">EXP(BZ28)/SUM(EXP($BY$28:$CI$28))</f>
        <v>2.3384253647307833E-2</v>
      </c>
      <c r="CM28" s="4" cm="1">
        <f t="array" ref="CM28">EXP(CA28)/SUM(EXP($BY$28:$CI$28))</f>
        <v>0.20107233099126712</v>
      </c>
      <c r="CN28" s="4" cm="1">
        <f t="array" ref="CN28">EXP(CB28)/SUM(EXP($BY$28:$CI$28))</f>
        <v>8.5498733185565817E-3</v>
      </c>
      <c r="CO28" s="4" cm="1">
        <f t="array" ref="CO28">EXP(CC28)/SUM(EXP($BY$28:$CI$28))</f>
        <v>0.7113774013998303</v>
      </c>
      <c r="CP28" s="4" cm="1">
        <f t="array" ref="CP28">EXP(CD28)/SUM(EXP($BY$28:$CI$28))</f>
        <v>2.4941592230885604E-2</v>
      </c>
      <c r="CQ28" s="4" cm="1">
        <f t="array" ref="CQ28">EXP(CE28)/SUM(EXP($BY$28:$CI$28))</f>
        <v>5.0185547862436489E-3</v>
      </c>
      <c r="CR28" s="4" cm="1">
        <f t="array" ref="CR28">EXP(CF28)/SUM(EXP($BY$28:$CI$28))</f>
        <v>2.495802615752414E-3</v>
      </c>
      <c r="CS28" s="4" cm="1">
        <f t="array" ref="CS28">EXP(CG28)/SUM(EXP($BY$28:$CI$28))</f>
        <v>1.4520182080171168E-3</v>
      </c>
      <c r="CT28" s="4" cm="1">
        <f t="array" ref="CT28">EXP(CH28)/SUM(EXP($BY$28:$CI$28))</f>
        <v>3.4119994432644042E-5</v>
      </c>
      <c r="CU28" s="4" cm="1">
        <f t="array" ref="CU28">EXP(CI28)/SUM(EXP($BY$28:$CI$28))</f>
        <v>2.1614498069078336E-2</v>
      </c>
      <c r="DU28" s="4"/>
      <c r="DV28" s="4"/>
      <c r="DW28" s="4"/>
      <c r="DX28" s="4"/>
      <c r="DY28" s="4"/>
      <c r="DZ28" s="4"/>
      <c r="EA28" s="4"/>
      <c r="EB28" s="4"/>
      <c r="EC28" s="4"/>
      <c r="ED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Q28" s="4"/>
      <c r="ER28" s="4"/>
      <c r="ES28" s="4"/>
      <c r="ET28" s="4"/>
      <c r="EU28" s="4"/>
      <c r="EV28" s="4"/>
      <c r="EW28" s="4"/>
      <c r="EX28" s="4"/>
      <c r="EY28" s="4"/>
      <c r="EZ28" s="4"/>
    </row>
    <row r="29" spans="1:156" ht="18" customHeight="1">
      <c r="A29" s="2">
        <f t="shared" si="14"/>
        <v>28</v>
      </c>
      <c r="B29" s="9" t="s">
        <v>897</v>
      </c>
      <c r="C29" s="9"/>
      <c r="D29" s="9"/>
      <c r="E29" s="9"/>
      <c r="F29" s="9"/>
      <c r="G29" s="9"/>
      <c r="I29" s="15" t="s">
        <v>50</v>
      </c>
      <c r="J29" s="15">
        <v>27</v>
      </c>
      <c r="K29" s="4">
        <v>1.141645</v>
      </c>
      <c r="L29" s="4">
        <v>-1.214777</v>
      </c>
      <c r="M29" s="4">
        <v>-1.010013</v>
      </c>
      <c r="N29" s="4">
        <v>1.634466</v>
      </c>
      <c r="O29" s="4">
        <v>-1.716137</v>
      </c>
      <c r="P29" s="4">
        <v>-1.2670520000000001</v>
      </c>
      <c r="Q29" s="4">
        <v>0.94987900000000003</v>
      </c>
      <c r="R29" s="4">
        <v>1.8205439999999999</v>
      </c>
      <c r="S29" s="4">
        <v>-0.423064</v>
      </c>
      <c r="T29" s="4">
        <v>-1.5470189999999999</v>
      </c>
      <c r="V29" s="19" t="s">
        <v>1238</v>
      </c>
      <c r="W29" s="21"/>
      <c r="X29" s="21"/>
      <c r="Y29" s="21"/>
      <c r="Z29" s="21"/>
      <c r="AA29" s="21"/>
      <c r="AB29" s="21"/>
      <c r="AC29" s="21"/>
      <c r="AD29" s="19" t="s">
        <v>1207</v>
      </c>
      <c r="AE29" s="19"/>
      <c r="AF29" s="21"/>
      <c r="AG29" s="19" t="s">
        <v>1207</v>
      </c>
      <c r="AH29" s="19"/>
      <c r="AI29" s="18"/>
      <c r="AJ29" s="23"/>
      <c r="AK29" s="16"/>
      <c r="AL29" s="16"/>
      <c r="AM29" s="16"/>
      <c r="AN29" s="16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H29" s="5">
        <v>-0.126499</v>
      </c>
      <c r="BI29" s="5">
        <v>0.46419199999999999</v>
      </c>
      <c r="BJ29" s="5">
        <v>-0.28660200000000002</v>
      </c>
      <c r="BK29" s="5">
        <v>0.36632300000000001</v>
      </c>
      <c r="BL29" s="5">
        <v>-0.44558900000000001</v>
      </c>
      <c r="BM29" s="5">
        <v>-0.46979599999999999</v>
      </c>
      <c r="BN29" s="5">
        <v>0.26457900000000001</v>
      </c>
      <c r="BO29" s="5">
        <v>2.6840000000000002E-3</v>
      </c>
      <c r="BP29" s="5">
        <v>4.2660999999999998E-2</v>
      </c>
      <c r="BQ29" s="5">
        <v>-8.7096999999999994E-2</v>
      </c>
      <c r="BR29" s="5"/>
      <c r="BS29" s="4">
        <v>2.3250703900669998</v>
      </c>
      <c r="BT29" s="4">
        <v>1.0913458099049997</v>
      </c>
      <c r="BU29" s="4">
        <v>4.8027246528409995</v>
      </c>
      <c r="BV29" s="4">
        <v>-3.7992419383149998</v>
      </c>
      <c r="BW29" s="4">
        <v>0.88649775516999996</v>
      </c>
      <c r="BX29" s="4"/>
      <c r="BY29" s="4">
        <v>-6.5790633628482924</v>
      </c>
      <c r="BZ29" s="4">
        <v>0.31001231736600698</v>
      </c>
      <c r="CA29" s="4">
        <v>3.3495825260919569</v>
      </c>
      <c r="CB29" s="4">
        <v>-0.83340699988579703</v>
      </c>
      <c r="CC29" s="4">
        <v>4.1441428343459368</v>
      </c>
      <c r="CD29" s="4">
        <v>0.91006130697924059</v>
      </c>
      <c r="CE29" s="4">
        <v>-1.5590812029045309</v>
      </c>
      <c r="CF29" s="4">
        <v>-2.1344270894650497</v>
      </c>
      <c r="CG29" s="4">
        <v>-3.076213316642145</v>
      </c>
      <c r="CH29" s="4">
        <v>-7.1574176403840113</v>
      </c>
      <c r="CI29" s="4">
        <v>0.57385174063656086</v>
      </c>
      <c r="CK29" s="4" cm="1">
        <f t="array" ref="CK29">EXP(BY29)/SUM(EXP($BY$29:$CI$29))</f>
        <v>1.4176604225920343E-5</v>
      </c>
      <c r="CL29" s="4" cm="1">
        <f t="array" ref="CL29">EXP(BZ29)/SUM(EXP($BY$29:$CI$29))</f>
        <v>1.3914248921535361E-2</v>
      </c>
      <c r="CM29" s="4" cm="1">
        <f t="array" ref="CM29">EXP(CA29)/SUM(EXP($BY$29:$CI$29))</f>
        <v>0.29075576698866362</v>
      </c>
      <c r="CN29" s="4" cm="1">
        <f t="array" ref="CN29">EXP(CB29)/SUM(EXP($BY$29:$CI$29))</f>
        <v>4.4348513605099388E-3</v>
      </c>
      <c r="CO29" s="4" cm="1">
        <f t="array" ref="CO29">EXP(CC29)/SUM(EXP($BY$29:$CI$29))</f>
        <v>0.64357845212334042</v>
      </c>
      <c r="CP29" s="4" cm="1">
        <f t="array" ref="CP29">EXP(CD29)/SUM(EXP($BY$29:$CI$29))</f>
        <v>2.5354656637640426E-2</v>
      </c>
      <c r="CQ29" s="4" cm="1">
        <f t="array" ref="CQ29">EXP(CE29)/SUM(EXP($BY$29:$CI$29))</f>
        <v>2.1464598359131146E-3</v>
      </c>
      <c r="CR29" s="4" cm="1">
        <f t="array" ref="CR29">EXP(CF29)/SUM(EXP($BY$29:$CI$29))</f>
        <v>1.2074057027273862E-3</v>
      </c>
      <c r="CS29" s="4" cm="1">
        <f t="array" ref="CS29">EXP(CG29)/SUM(EXP($BY$29:$CI$29))</f>
        <v>4.7080456063094825E-4</v>
      </c>
      <c r="CT29" s="4" cm="1">
        <f t="array" ref="CT29">EXP(CH29)/SUM(EXP($BY$29:$CI$29))</f>
        <v>7.950531156549186E-6</v>
      </c>
      <c r="CU29" s="4" cm="1">
        <f t="array" ref="CU29">EXP(CI29)/SUM(EXP($BY$29:$CI$29))</f>
        <v>1.8115226733656405E-2</v>
      </c>
      <c r="DJ29" s="2" t="s">
        <v>21</v>
      </c>
      <c r="DU29" s="2" t="s">
        <v>1199</v>
      </c>
      <c r="EF29" s="2" t="s">
        <v>1200</v>
      </c>
    </row>
    <row r="30" spans="1:156" ht="18" customHeight="1">
      <c r="A30" s="2">
        <f t="shared" si="14"/>
        <v>29</v>
      </c>
      <c r="B30" s="9" t="s">
        <v>898</v>
      </c>
      <c r="C30" s="9"/>
      <c r="D30" s="9"/>
      <c r="E30" s="9"/>
      <c r="F30" s="9"/>
      <c r="G30" s="9"/>
      <c r="I30" s="15" t="s">
        <v>51</v>
      </c>
      <c r="J30" s="15">
        <v>28</v>
      </c>
      <c r="K30" s="4">
        <v>0.99684499999999998</v>
      </c>
      <c r="L30" s="4">
        <v>-0.85145400000000004</v>
      </c>
      <c r="M30" s="4">
        <v>-0.85518799999999995</v>
      </c>
      <c r="N30" s="4">
        <v>0.70511299999999999</v>
      </c>
      <c r="O30" s="4">
        <v>0.73141999999999996</v>
      </c>
      <c r="P30" s="4">
        <v>-1.4106730000000001</v>
      </c>
      <c r="Q30" s="4">
        <v>-0.38775399999999999</v>
      </c>
      <c r="R30" s="4">
        <v>-1.653681</v>
      </c>
      <c r="S30" s="4">
        <v>-1.4442889999999999</v>
      </c>
      <c r="T30" s="4">
        <v>-1.0106649999999999</v>
      </c>
      <c r="V30" s="19" t="s">
        <v>1239</v>
      </c>
      <c r="W30" s="21"/>
      <c r="X30" s="21"/>
      <c r="Y30" s="21"/>
      <c r="Z30" s="21"/>
      <c r="AA30" s="21"/>
      <c r="AB30" s="21"/>
      <c r="AC30" s="21"/>
      <c r="AD30" s="19" t="s">
        <v>1208</v>
      </c>
      <c r="AE30" s="19"/>
      <c r="AF30" s="21"/>
      <c r="AG30" s="19" t="s">
        <v>1208</v>
      </c>
      <c r="AH30" s="19"/>
      <c r="AI30" s="18"/>
      <c r="AJ30" s="23"/>
      <c r="AK30" s="16"/>
      <c r="AL30" s="16"/>
      <c r="AM30" s="16"/>
      <c r="AN30" s="16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H30" s="5">
        <v>0.373469</v>
      </c>
      <c r="BI30" s="5">
        <v>0.37767400000000001</v>
      </c>
      <c r="BJ30" s="5">
        <v>-0.47755999999999998</v>
      </c>
      <c r="BK30" s="5">
        <v>0.30125099999999999</v>
      </c>
      <c r="BL30" s="5">
        <v>-0.35943399999999998</v>
      </c>
      <c r="BM30" s="5">
        <v>-0.18862400000000001</v>
      </c>
      <c r="BN30" s="5">
        <v>0.592893</v>
      </c>
      <c r="BO30" s="5">
        <v>-0.70578799999999997</v>
      </c>
      <c r="BP30" s="5">
        <v>0.730931</v>
      </c>
      <c r="BQ30" s="5">
        <v>-0.39448299999999997</v>
      </c>
      <c r="BR30" s="5"/>
      <c r="BS30" s="4">
        <v>-0.45445684218599997</v>
      </c>
      <c r="BT30" s="4">
        <v>-0.76832542713299967</v>
      </c>
      <c r="BU30" s="4">
        <v>0.37917225665200038</v>
      </c>
      <c r="BV30" s="4">
        <v>-0.92925822724000007</v>
      </c>
      <c r="BW30" s="4">
        <v>-0.29122660752500001</v>
      </c>
      <c r="BX30" s="4"/>
      <c r="BY30" s="4">
        <v>0.2113933949173879</v>
      </c>
      <c r="BZ30" s="4">
        <v>-3.5087290468338507E-2</v>
      </c>
      <c r="CA30" s="4">
        <v>0.23001674806509792</v>
      </c>
      <c r="CB30" s="4">
        <v>-0.22506698805498551</v>
      </c>
      <c r="CC30" s="4">
        <v>-0.27175573708255285</v>
      </c>
      <c r="CD30" s="4">
        <v>0.21240561114196715</v>
      </c>
      <c r="CE30" s="4">
        <v>-0.45043222996559157</v>
      </c>
      <c r="CF30" s="4">
        <v>0.16898091673325577</v>
      </c>
      <c r="CG30" s="4">
        <v>-0.24187492460347343</v>
      </c>
      <c r="CH30" s="4">
        <v>2.0550637203905413E-2</v>
      </c>
      <c r="CI30" s="4">
        <v>-0.39447733937475143</v>
      </c>
      <c r="CK30" s="4" cm="1">
        <f t="array" ref="CK30">EXP(BY30)/SUM(EXP($BY$30:$CI$30))</f>
        <v>0.11700960205260784</v>
      </c>
      <c r="CL30" s="4" cm="1">
        <f t="array" ref="CL30">EXP(BZ30)/SUM(EXP($BY$30:$CI$30))</f>
        <v>9.1448439879362381E-2</v>
      </c>
      <c r="CM30" s="4" cm="1">
        <f t="array" ref="CM30">EXP(CA30)/SUM(EXP($BY$30:$CI$30))</f>
        <v>0.1192091309233819</v>
      </c>
      <c r="CN30" s="4" cm="1">
        <f t="array" ref="CN30">EXP(CB30)/SUM(EXP($BY$30:$CI$30))</f>
        <v>7.5625658010892285E-2</v>
      </c>
      <c r="CO30" s="4" cm="1">
        <f t="array" ref="CO30">EXP(CC30)/SUM(EXP($BY$30:$CI$30))</f>
        <v>7.2175948581115701E-2</v>
      </c>
      <c r="CP30" s="4" cm="1">
        <f t="array" ref="CP30">EXP(CD30)/SUM(EXP($BY$30:$CI$30))</f>
        <v>0.11712810103341489</v>
      </c>
      <c r="CQ30" s="4" cm="1">
        <f t="array" ref="CQ30">EXP(CE30)/SUM(EXP($BY$30:$CI$30))</f>
        <v>6.036626216015014E-2</v>
      </c>
      <c r="CR30" s="4" cm="1">
        <f t="array" ref="CR30">EXP(CF30)/SUM(EXP($BY$30:$CI$30))</f>
        <v>0.11215070218519721</v>
      </c>
      <c r="CS30" s="4" cm="1">
        <f t="array" ref="CS30">EXP(CG30)/SUM(EXP($BY$30:$CI$30))</f>
        <v>7.4365169529383213E-2</v>
      </c>
      <c r="CT30" s="4" cm="1">
        <f t="array" ref="CT30">EXP(CH30)/SUM(EXP($BY$30:$CI$30))</f>
        <v>9.6680646473017121E-2</v>
      </c>
      <c r="CU30" s="4" cm="1">
        <f t="array" ref="CU30">EXP(CI30)/SUM(EXP($BY$30:$CI$30))</f>
        <v>6.3840339171477231E-2</v>
      </c>
      <c r="DJ30" s="5">
        <v>-0.230796</v>
      </c>
      <c r="DK30" s="5">
        <v>0.39455200000000001</v>
      </c>
      <c r="DL30" s="5">
        <v>0.23309299999999999</v>
      </c>
      <c r="DM30" s="5">
        <v>0.30932599999999999</v>
      </c>
      <c r="DN30" s="5">
        <v>0.274121</v>
      </c>
      <c r="DO30" s="5">
        <v>0.28254600000000002</v>
      </c>
      <c r="DP30" s="5">
        <v>-0.234843</v>
      </c>
      <c r="DQ30" s="5">
        <v>-8.9382000000000003E-2</v>
      </c>
      <c r="DR30" s="5">
        <v>-0.45067699999999999</v>
      </c>
      <c r="DS30" s="5">
        <v>0.40764400000000001</v>
      </c>
      <c r="DU30" s="4" cm="1">
        <f t="array" ref="DU30:EB40">MMULT(EQ16:EZ26,TRANSPOSE(DJ30:DS37))</f>
        <v>0.88753658159573212</v>
      </c>
      <c r="DV30" s="4">
        <v>-1.8036060772346967</v>
      </c>
      <c r="DW30" s="4">
        <v>-1.048801962238173</v>
      </c>
      <c r="DX30" s="4">
        <v>-1.7075642388597816</v>
      </c>
      <c r="DY30" s="4">
        <v>-1.193129916949955</v>
      </c>
      <c r="DZ30" s="4">
        <v>-2.0102322002386543</v>
      </c>
      <c r="EA30" s="4">
        <v>-1.110098662704915</v>
      </c>
      <c r="EB30" s="4">
        <v>1.9552911711563579</v>
      </c>
      <c r="EF30" s="4">
        <f>DU$30+DJ$39</f>
        <v>1.4281585815957323</v>
      </c>
      <c r="EG30" s="4">
        <f t="shared" ref="EG30:EM30" si="86">DV$30+DK$39</f>
        <v>-2.0496080772346965</v>
      </c>
      <c r="EH30" s="4">
        <f t="shared" si="86"/>
        <v>-0.77803696223817309</v>
      </c>
      <c r="EI30" s="4">
        <f t="shared" si="86"/>
        <v>-1.6185362388597815</v>
      </c>
      <c r="EJ30" s="4">
        <f>DY$30+DN$39</f>
        <v>-1.2179189169499549</v>
      </c>
      <c r="EK30" s="4">
        <f t="shared" si="86"/>
        <v>-2.4232922002386541</v>
      </c>
      <c r="EL30" s="4">
        <f t="shared" si="86"/>
        <v>-1.102467662704915</v>
      </c>
      <c r="EM30" s="4">
        <f t="shared" si="86"/>
        <v>1.8927751711563578</v>
      </c>
      <c r="EN30" s="4"/>
      <c r="EO30" s="4"/>
    </row>
    <row r="31" spans="1:156" ht="18" customHeight="1">
      <c r="A31" s="2">
        <f t="shared" si="14"/>
        <v>30</v>
      </c>
      <c r="B31" s="9" t="s">
        <v>899</v>
      </c>
      <c r="C31" s="9"/>
      <c r="D31" s="9"/>
      <c r="E31" s="9"/>
      <c r="F31" s="9"/>
      <c r="G31" s="9"/>
      <c r="I31" s="15" t="s">
        <v>52</v>
      </c>
      <c r="J31" s="15">
        <v>29</v>
      </c>
      <c r="K31" s="4">
        <v>0.37386900000000001</v>
      </c>
      <c r="L31" s="4">
        <v>0.83807399999999999</v>
      </c>
      <c r="M31" s="4">
        <v>-1.7591479999999999</v>
      </c>
      <c r="N31" s="4">
        <v>-1.501679</v>
      </c>
      <c r="O31" s="4">
        <v>0.61866299999999996</v>
      </c>
      <c r="P31" s="4">
        <v>-0.62276900000000002</v>
      </c>
      <c r="Q31" s="4">
        <v>0.93019200000000002</v>
      </c>
      <c r="R31" s="4">
        <v>0.143903</v>
      </c>
      <c r="S31" s="4">
        <v>-2.6478999999999999E-2</v>
      </c>
      <c r="T31" s="4">
        <v>-0.56003700000000001</v>
      </c>
      <c r="V31" s="19" t="s">
        <v>1240</v>
      </c>
      <c r="W31" s="21"/>
      <c r="X31" s="21"/>
      <c r="Y31" s="21"/>
      <c r="Z31" s="21"/>
      <c r="AA31" s="21"/>
      <c r="AB31" s="21"/>
      <c r="AC31" s="21"/>
      <c r="AD31" s="19" t="s">
        <v>1205</v>
      </c>
      <c r="AE31" s="19"/>
      <c r="AF31" s="21"/>
      <c r="AG31" s="19" t="s">
        <v>1205</v>
      </c>
      <c r="AH31" s="19"/>
      <c r="AI31" s="18"/>
      <c r="AJ31" s="23"/>
      <c r="AK31" s="16"/>
      <c r="AL31" s="16"/>
      <c r="AM31" s="16"/>
      <c r="AN31" s="16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H31" s="5">
        <v>-0.45022899999999999</v>
      </c>
      <c r="BI31" s="5">
        <v>-2.0434999999999998E-2</v>
      </c>
      <c r="BJ31" s="5">
        <v>0.54423299999999997</v>
      </c>
      <c r="BK31" s="5">
        <v>-0.204599</v>
      </c>
      <c r="BL31" s="5">
        <v>0.58572100000000005</v>
      </c>
      <c r="BM31" s="5">
        <v>0.35492099999999999</v>
      </c>
      <c r="BN31" s="5">
        <v>-0.15463299999999999</v>
      </c>
      <c r="BO31" s="5">
        <v>0.60718300000000003</v>
      </c>
      <c r="BP31" s="5">
        <v>-0.13249900000000001</v>
      </c>
      <c r="BQ31" s="5">
        <v>0.21288899999999999</v>
      </c>
      <c r="BR31" s="5"/>
      <c r="BS31" s="4">
        <v>-0.13680771873900022</v>
      </c>
      <c r="BT31" s="4">
        <v>-1.5461863288550002</v>
      </c>
      <c r="BU31" s="4">
        <v>-2.5912088203240002</v>
      </c>
      <c r="BV31" s="4">
        <v>2.7729161453800004</v>
      </c>
      <c r="BW31" s="4">
        <v>-0.96199348332100032</v>
      </c>
      <c r="BX31" s="4"/>
      <c r="BY31" s="4">
        <v>3.5096394300111098</v>
      </c>
      <c r="BZ31" s="4">
        <v>-0.71389016272277095</v>
      </c>
      <c r="CA31" s="4">
        <v>-2.5827093417483464</v>
      </c>
      <c r="CB31" s="4">
        <v>0.35468751150583516</v>
      </c>
      <c r="CC31" s="4">
        <v>-2.237124913941106</v>
      </c>
      <c r="CD31" s="4">
        <v>0.19240845260360068</v>
      </c>
      <c r="CE31" s="4">
        <v>0.69206356003037028</v>
      </c>
      <c r="CF31" s="4">
        <v>1.1009861257236453</v>
      </c>
      <c r="CG31" s="4">
        <v>1.5486886800110462</v>
      </c>
      <c r="CH31" s="4">
        <v>4.9047615656324233</v>
      </c>
      <c r="CI31" s="4">
        <v>-0.30305403929734981</v>
      </c>
      <c r="CK31" s="4" cm="1">
        <f t="array" ref="CK31">EXP(BY31)/SUM(EXP($BY$31:$CI$31))</f>
        <v>0.18358860686587034</v>
      </c>
      <c r="CL31" s="4" cm="1">
        <f t="array" ref="CL31">EXP(BZ31)/SUM(EXP($BY$31:$CI$31))</f>
        <v>2.6889958377885517E-3</v>
      </c>
      <c r="CM31" s="4" cm="1">
        <f t="array" ref="CM31">EXP(CA31)/SUM(EXP($BY$31:$CI$31))</f>
        <v>4.1492755112001285E-4</v>
      </c>
      <c r="CN31" s="4" cm="1">
        <f t="array" ref="CN31">EXP(CB31)/SUM(EXP($BY$31:$CI$31))</f>
        <v>7.8283010245952245E-3</v>
      </c>
      <c r="CO31" s="4" cm="1">
        <f t="array" ref="CO31">EXP(CC31)/SUM(EXP($BY$31:$CI$31))</f>
        <v>5.8621602042397206E-4</v>
      </c>
      <c r="CP31" s="4" cm="1">
        <f t="array" ref="CP31">EXP(CD31)/SUM(EXP($BY$31:$CI$31))</f>
        <v>6.655652174695971E-3</v>
      </c>
      <c r="CQ31" s="4" cm="1">
        <f t="array" ref="CQ31">EXP(CE31)/SUM(EXP($BY$31:$CI$31))</f>
        <v>1.0969531348416172E-2</v>
      </c>
      <c r="CR31" s="4" cm="1">
        <f t="array" ref="CR31">EXP(CF31)/SUM(EXP($BY$31:$CI$31))</f>
        <v>1.6511285517554736E-2</v>
      </c>
      <c r="CS31" s="4" cm="1">
        <f t="array" ref="CS31">EXP(CG31)/SUM(EXP($BY$31:$CI$31))</f>
        <v>2.5835426550074245E-2</v>
      </c>
      <c r="CT31" s="4" cm="1">
        <f t="array" ref="CT31">EXP(CH31)/SUM(EXP($BY$31:$CI$31))</f>
        <v>0.74086584111300724</v>
      </c>
      <c r="CU31" s="4" cm="1">
        <f t="array" ref="CU31">EXP(CI31)/SUM(EXP($BY$31:$CI$31))</f>
        <v>4.0552159964534103E-3</v>
      </c>
      <c r="DJ31" s="5">
        <v>-6.8114999999999995E-2</v>
      </c>
      <c r="DK31" s="5">
        <v>-9.7448999999999994E-2</v>
      </c>
      <c r="DL31" s="5">
        <v>-0.33129500000000001</v>
      </c>
      <c r="DM31" s="5">
        <v>0.26042799999999999</v>
      </c>
      <c r="DN31" s="5">
        <v>-0.55732499999999996</v>
      </c>
      <c r="DO31" s="5">
        <v>-0.50815100000000002</v>
      </c>
      <c r="DP31" s="5">
        <v>0.28667500000000001</v>
      </c>
      <c r="DQ31" s="5">
        <v>0.48062700000000003</v>
      </c>
      <c r="DR31" s="5">
        <v>4.7608999999999999E-2</v>
      </c>
      <c r="DS31" s="5">
        <v>-0.46409600000000001</v>
      </c>
      <c r="DU31" s="4">
        <v>1.7623745781158235</v>
      </c>
      <c r="DV31" s="4">
        <v>-2.54657629188881</v>
      </c>
      <c r="DW31" s="4">
        <v>-1.7053342967678369</v>
      </c>
      <c r="DX31" s="4">
        <v>-2.3579089040337422</v>
      </c>
      <c r="DY31" s="4">
        <v>-2.2525481286596909</v>
      </c>
      <c r="DZ31" s="4">
        <v>-2.5648107789034635</v>
      </c>
      <c r="EA31" s="4">
        <v>-1.8746620162459169</v>
      </c>
      <c r="EB31" s="4">
        <v>2.966987365535708</v>
      </c>
      <c r="EF31" s="4">
        <f>DU$31+DJ$39</f>
        <v>2.3029965781158235</v>
      </c>
      <c r="EG31" s="4">
        <f t="shared" ref="EG31:EM31" si="87">DV$31+DK$39</f>
        <v>-2.7925782918888098</v>
      </c>
      <c r="EH31" s="4">
        <f t="shared" si="87"/>
        <v>-1.434569296767837</v>
      </c>
      <c r="EI31" s="4">
        <f t="shared" si="87"/>
        <v>-2.2688809040337423</v>
      </c>
      <c r="EJ31" s="4">
        <f t="shared" si="87"/>
        <v>-2.2773371286596911</v>
      </c>
      <c r="EK31" s="4">
        <f t="shared" si="87"/>
        <v>-2.9778707789034637</v>
      </c>
      <c r="EL31" s="4">
        <f t="shared" si="87"/>
        <v>-1.8670310162459169</v>
      </c>
      <c r="EM31" s="4">
        <f t="shared" si="87"/>
        <v>2.9044713655357079</v>
      </c>
    </row>
    <row r="32" spans="1:156" ht="18" customHeight="1">
      <c r="A32" s="2">
        <f t="shared" si="14"/>
        <v>31</v>
      </c>
      <c r="B32" s="9" t="s">
        <v>900</v>
      </c>
      <c r="C32" s="9"/>
      <c r="D32" s="9"/>
      <c r="E32" s="9"/>
      <c r="F32" s="9"/>
      <c r="G32" s="9"/>
      <c r="I32" s="15" t="s">
        <v>53</v>
      </c>
      <c r="J32" s="15">
        <v>30</v>
      </c>
      <c r="K32" s="4">
        <v>0.63611099999999998</v>
      </c>
      <c r="L32" s="4">
        <v>-0.91939800000000005</v>
      </c>
      <c r="M32" s="4">
        <v>-0.89831399999999995</v>
      </c>
      <c r="N32" s="4">
        <v>-0.37385600000000002</v>
      </c>
      <c r="O32" s="4">
        <v>0.74721400000000004</v>
      </c>
      <c r="P32" s="4">
        <v>-1.222378</v>
      </c>
      <c r="Q32" s="4">
        <v>1.852597</v>
      </c>
      <c r="R32" s="4">
        <v>0.81347800000000003</v>
      </c>
      <c r="S32" s="4">
        <v>-1.382611</v>
      </c>
      <c r="T32" s="4">
        <v>0.25298999999999999</v>
      </c>
      <c r="V32" s="19" t="s">
        <v>1243</v>
      </c>
      <c r="W32" s="21"/>
      <c r="X32" s="21"/>
      <c r="Y32" s="21"/>
      <c r="Z32" s="21"/>
      <c r="AA32" s="21"/>
      <c r="AB32" s="21"/>
      <c r="AC32" s="21"/>
      <c r="AD32" s="19" t="s">
        <v>1204</v>
      </c>
      <c r="AE32" s="19"/>
      <c r="AF32" s="21"/>
      <c r="AG32" s="19" t="s">
        <v>1204</v>
      </c>
      <c r="AH32" s="19"/>
      <c r="AI32" s="18"/>
      <c r="AJ32" s="23"/>
      <c r="AK32" s="16"/>
      <c r="AL32" s="16"/>
      <c r="AM32" s="16"/>
      <c r="AN32" s="16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H32" s="5">
        <v>0.20380100000000001</v>
      </c>
      <c r="BI32" s="5">
        <v>0.11724900000000001</v>
      </c>
      <c r="BJ32" s="5">
        <v>-0.41925099999999998</v>
      </c>
      <c r="BK32" s="5">
        <v>0.23741799999999999</v>
      </c>
      <c r="BL32" s="5">
        <v>-6.6819999999999996E-3</v>
      </c>
      <c r="BM32" s="5">
        <v>-0.334067</v>
      </c>
      <c r="BN32" s="5">
        <v>-3.3916000000000002E-2</v>
      </c>
      <c r="BO32" s="5">
        <v>7.8962000000000004E-2</v>
      </c>
      <c r="BP32" s="5">
        <v>0.39021699999999998</v>
      </c>
      <c r="BQ32" s="5">
        <v>-0.296599</v>
      </c>
      <c r="BR32" s="5"/>
      <c r="BS32" s="4">
        <v>-0.61462929337500027</v>
      </c>
      <c r="BT32" s="4">
        <v>-0.86710123348000023</v>
      </c>
      <c r="BU32" s="4">
        <v>-1.7564032028650001</v>
      </c>
      <c r="BV32" s="4">
        <v>1.511181572855</v>
      </c>
      <c r="BW32" s="4">
        <v>0.54825505673100006</v>
      </c>
      <c r="BX32" s="4"/>
      <c r="BY32" s="4">
        <v>2.0592123280149632</v>
      </c>
      <c r="BZ32" s="4">
        <v>-0.21807271867265546</v>
      </c>
      <c r="CA32" s="4">
        <v>-1.4475091040117924</v>
      </c>
      <c r="CB32" s="4">
        <v>3.8052950968074713E-2</v>
      </c>
      <c r="CC32" s="4">
        <v>-1.3101405402195512</v>
      </c>
      <c r="CD32" s="4">
        <v>-0.5977829088128821</v>
      </c>
      <c r="CE32" s="4">
        <v>0.36917085918655246</v>
      </c>
      <c r="CF32" s="4">
        <v>0.60262359642526175</v>
      </c>
      <c r="CG32" s="4">
        <v>0.84834300997399892</v>
      </c>
      <c r="CH32" s="4">
        <v>2.2570809762748758</v>
      </c>
      <c r="CI32" s="4">
        <v>-0.79093349059464713</v>
      </c>
      <c r="CK32" s="4" cm="1">
        <f t="array" ref="CK32">EXP(BY32)/SUM(EXP($BY$32:$CI$32))</f>
        <v>0.29746431228765163</v>
      </c>
      <c r="CL32" s="4" cm="1">
        <f t="array" ref="CL32">EXP(BZ32)/SUM(EXP($BY$32:$CI$32))</f>
        <v>3.0508618345567427E-2</v>
      </c>
      <c r="CM32" s="4" cm="1">
        <f t="array" ref="CM32">EXP(CA32)/SUM(EXP($BY$32:$CI$32))</f>
        <v>8.9224701157794746E-3</v>
      </c>
      <c r="CN32" s="4" cm="1">
        <f t="array" ref="CN32">EXP(CB32)/SUM(EXP($BY$32:$CI$32))</f>
        <v>3.9414543873905077E-2</v>
      </c>
      <c r="CO32" s="4" cm="1">
        <f t="array" ref="CO32">EXP(CC32)/SUM(EXP($BY$32:$CI$32))</f>
        <v>1.0236311921887295E-2</v>
      </c>
      <c r="CP32" s="4" cm="1">
        <f t="array" ref="CP32">EXP(CD32)/SUM(EXP($BY$32:$CI$32))</f>
        <v>2.0869714107504253E-2</v>
      </c>
      <c r="CQ32" s="4" cm="1">
        <f t="array" ref="CQ32">EXP(CE32)/SUM(EXP($BY$32:$CI$32))</f>
        <v>5.4885697215466232E-2</v>
      </c>
      <c r="CR32" s="4" cm="1">
        <f t="array" ref="CR32">EXP(CF32)/SUM(EXP($BY$32:$CI$32))</f>
        <v>6.9318063410364825E-2</v>
      </c>
      <c r="CS32" s="4" cm="1">
        <f t="array" ref="CS32">EXP(CG32)/SUM(EXP($BY$32:$CI$32))</f>
        <v>8.8625970998529993E-2</v>
      </c>
      <c r="CT32" s="4" cm="1">
        <f t="array" ref="CT32">EXP(CH32)/SUM(EXP($BY$32:$CI$32))</f>
        <v>0.36255018545720896</v>
      </c>
      <c r="CU32" s="4" cm="1">
        <f t="array" ref="CU32">EXP(CI32)/SUM(EXP($BY$32:$CI$32))</f>
        <v>1.7204112266134861E-2</v>
      </c>
      <c r="DJ32" s="5">
        <v>-0.202683</v>
      </c>
      <c r="DK32" s="5">
        <v>-0.304983</v>
      </c>
      <c r="DL32" s="5">
        <v>-0.22078500000000001</v>
      </c>
      <c r="DM32" s="5">
        <v>-0.41282200000000002</v>
      </c>
      <c r="DN32" s="5">
        <v>-2.6037999999999999E-2</v>
      </c>
      <c r="DO32" s="5">
        <v>3.5777000000000003E-2</v>
      </c>
      <c r="DP32" s="5">
        <v>-0.59560800000000003</v>
      </c>
      <c r="DQ32" s="5">
        <v>0.47634599999999999</v>
      </c>
      <c r="DR32" s="5">
        <v>-7.3837E-2</v>
      </c>
      <c r="DS32" s="5">
        <v>4.8086999999999998E-2</v>
      </c>
      <c r="DU32" s="4">
        <v>0.26655848372806923</v>
      </c>
      <c r="DV32" s="4">
        <v>0.21309397884191403</v>
      </c>
      <c r="DW32" s="4">
        <v>-2.4617526528145244</v>
      </c>
      <c r="DX32" s="4">
        <v>-4.1608630464159058</v>
      </c>
      <c r="DY32" s="4">
        <v>-2.6380968845688924</v>
      </c>
      <c r="DZ32" s="4">
        <v>1.9683253175073574</v>
      </c>
      <c r="EA32" s="4">
        <v>-4.6127237126050282</v>
      </c>
      <c r="EB32" s="4">
        <v>1.8662728659627312</v>
      </c>
      <c r="EF32" s="4">
        <f>DU$32+DJ$39</f>
        <v>0.80718048372806928</v>
      </c>
      <c r="EG32" s="4">
        <f t="shared" ref="EG32:EM32" si="88">DV$32+DK$39</f>
        <v>-3.2908021158085971E-2</v>
      </c>
      <c r="EH32" s="4">
        <f t="shared" si="88"/>
        <v>-2.1909876528145245</v>
      </c>
      <c r="EI32" s="4">
        <f t="shared" si="88"/>
        <v>-4.0718350464159059</v>
      </c>
      <c r="EJ32" s="4">
        <f t="shared" si="88"/>
        <v>-2.6628858845688925</v>
      </c>
      <c r="EK32" s="4">
        <f t="shared" si="88"/>
        <v>1.5552653175073574</v>
      </c>
      <c r="EL32" s="4">
        <f t="shared" si="88"/>
        <v>-4.6050927126050283</v>
      </c>
      <c r="EM32" s="4">
        <f t="shared" si="88"/>
        <v>1.8037568659627312</v>
      </c>
    </row>
    <row r="33" spans="1:143" ht="18" customHeight="1">
      <c r="A33" s="2">
        <f t="shared" si="14"/>
        <v>32</v>
      </c>
      <c r="B33" s="9" t="s">
        <v>901</v>
      </c>
      <c r="C33" s="9"/>
      <c r="D33" s="9"/>
      <c r="E33" s="9"/>
      <c r="F33" s="9"/>
      <c r="G33" s="9"/>
      <c r="I33" s="15" t="s">
        <v>54</v>
      </c>
      <c r="J33" s="15">
        <v>31</v>
      </c>
      <c r="K33" s="4">
        <v>-0.71950700000000001</v>
      </c>
      <c r="L33" s="4">
        <v>-0.18043899999999999</v>
      </c>
      <c r="M33" s="4">
        <v>-6.9454000000000002E-2</v>
      </c>
      <c r="N33" s="4">
        <v>-1.3563190000000001</v>
      </c>
      <c r="O33" s="4">
        <v>0.69991800000000004</v>
      </c>
      <c r="P33" s="4">
        <v>-0.99410799999999999</v>
      </c>
      <c r="Q33" s="4">
        <v>-0.80515599999999998</v>
      </c>
      <c r="R33" s="4">
        <v>-1.0544230000000001</v>
      </c>
      <c r="S33" s="4">
        <v>-0.14355999999999999</v>
      </c>
      <c r="T33" s="4">
        <v>-0.93673899999999999</v>
      </c>
      <c r="V33" s="19" t="s">
        <v>1244</v>
      </c>
      <c r="W33" s="21"/>
      <c r="X33" s="21"/>
      <c r="Y33" s="21"/>
      <c r="Z33" s="21"/>
      <c r="AA33" s="21"/>
      <c r="AB33" s="21"/>
      <c r="AC33" s="21"/>
      <c r="AD33" s="19" t="s">
        <v>1205</v>
      </c>
      <c r="AE33" s="19"/>
      <c r="AF33" s="21"/>
      <c r="AG33" s="19" t="s">
        <v>1205</v>
      </c>
      <c r="AH33" s="19"/>
      <c r="AI33" s="18"/>
      <c r="AJ33" s="23"/>
      <c r="AK33" s="16"/>
      <c r="AL33" s="16"/>
      <c r="AM33" s="16"/>
      <c r="AN33" s="16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4">
        <v>-3.0168629306210004</v>
      </c>
      <c r="BT33" s="4">
        <v>-2.4967837772000001</v>
      </c>
      <c r="BU33" s="4">
        <v>-3.4445557286360002</v>
      </c>
      <c r="BV33" s="4">
        <v>2.8511543420079999</v>
      </c>
      <c r="BW33" s="4">
        <v>-0.95195748197599983</v>
      </c>
      <c r="BX33" s="4"/>
      <c r="BY33" s="4">
        <v>6.874725344183938</v>
      </c>
      <c r="BZ33" s="4">
        <v>-0.36178417841784688</v>
      </c>
      <c r="CA33" s="4">
        <v>-2.8447812335847331</v>
      </c>
      <c r="CB33" s="4">
        <v>0.30152012495282726</v>
      </c>
      <c r="CC33" s="4">
        <v>-4.4586513370983987</v>
      </c>
      <c r="CD33" s="4">
        <v>-0.73213665815671847</v>
      </c>
      <c r="CE33" s="4">
        <v>1.0129768631123952</v>
      </c>
      <c r="CF33" s="4">
        <v>2.4655879393459168</v>
      </c>
      <c r="CG33" s="4">
        <v>2.4565061830071953</v>
      </c>
      <c r="CH33" s="4">
        <v>7.1705251499243783</v>
      </c>
      <c r="CI33" s="4">
        <v>-1.6106066854853733</v>
      </c>
      <c r="CK33" s="4" cm="1">
        <f t="array" ref="CK33">EXP(BY33)/SUM(EXP($BY$33:$CI$33))</f>
        <v>0.42120136562155114</v>
      </c>
      <c r="CL33" s="4" cm="1">
        <f t="array" ref="CL33">EXP(BZ33)/SUM(EXP($BY$33:$CI$33))</f>
        <v>3.0318912292030673E-4</v>
      </c>
      <c r="CM33" s="4" cm="1">
        <f t="array" ref="CM33">EXP(CA33)/SUM(EXP($BY$33:$CI$33))</f>
        <v>2.5314053699004158E-5</v>
      </c>
      <c r="CN33" s="4" cm="1">
        <f t="array" ref="CN33">EXP(CB33)/SUM(EXP($BY$33:$CI$33))</f>
        <v>5.88549527608483E-4</v>
      </c>
      <c r="CO33" s="4" cm="1">
        <f t="array" ref="CO33">EXP(CC33)/SUM(EXP($BY$33:$CI$33))</f>
        <v>5.0404210495475709E-6</v>
      </c>
      <c r="CP33" s="4" cm="1">
        <f t="array" ref="CP33">EXP(CD33)/SUM(EXP($BY$33:$CI$33))</f>
        <v>2.0934933147267987E-4</v>
      </c>
      <c r="CQ33" s="4" cm="1">
        <f t="array" ref="CQ33">EXP(CE33)/SUM(EXP($BY$33:$CI$33))</f>
        <v>1.1988497331765254E-3</v>
      </c>
      <c r="CR33" s="4" cm="1">
        <f t="array" ref="CR33">EXP(CF33)/SUM(EXP($BY$33:$CI$33))</f>
        <v>5.1241959127037275E-3</v>
      </c>
      <c r="CS33" s="4" cm="1">
        <f t="array" ref="CS33">EXP(CG33)/SUM(EXP($BY$33:$CI$33))</f>
        <v>5.0778698932104366E-3</v>
      </c>
      <c r="CT33" s="4" cm="1">
        <f t="array" ref="CT33">EXP(CH33)/SUM(EXP($BY$33:$CI$33))</f>
        <v>0.56617930890120705</v>
      </c>
      <c r="CU33" s="4" cm="1">
        <f t="array" ref="CU33">EXP(CI33)/SUM(EXP($BY$33:$CI$33))</f>
        <v>8.6967481401108629E-5</v>
      </c>
      <c r="DJ33" s="5">
        <v>-0.11551500000000001</v>
      </c>
      <c r="DK33" s="5">
        <v>-0.58092999999999995</v>
      </c>
      <c r="DL33" s="5">
        <v>-0.432033</v>
      </c>
      <c r="DM33" s="5">
        <v>0.47176600000000002</v>
      </c>
      <c r="DN33" s="5">
        <v>-7.4580999999999995E-2</v>
      </c>
      <c r="DO33" s="5">
        <v>0.39348899999999998</v>
      </c>
      <c r="DP33" s="5">
        <v>0.13941400000000001</v>
      </c>
      <c r="DQ33" s="5">
        <v>-0.572909</v>
      </c>
      <c r="DR33" s="5">
        <v>-0.14949999999999999</v>
      </c>
      <c r="DS33" s="5">
        <v>0.47292299999999998</v>
      </c>
      <c r="DU33" s="4">
        <v>-4.0489385202136612</v>
      </c>
      <c r="DV33" s="4">
        <v>4.6992890520788837</v>
      </c>
      <c r="DW33" s="4">
        <v>-2.1539586071675494</v>
      </c>
      <c r="DX33" s="4">
        <v>-6.7816084232110176</v>
      </c>
      <c r="DY33" s="4">
        <v>2.4959692463160548</v>
      </c>
      <c r="DZ33" s="4">
        <v>-0.54820645988398953</v>
      </c>
      <c r="EA33" s="4">
        <v>-12.531561914644801</v>
      </c>
      <c r="EB33" s="4">
        <v>-2.7240686347574004</v>
      </c>
      <c r="EF33" s="4">
        <f>DU$33+DJ$39</f>
        <v>-3.5083165202136612</v>
      </c>
      <c r="EG33" s="4">
        <f t="shared" ref="EG33:EM33" si="89">DV$33+DK$39</f>
        <v>4.4532870520788839</v>
      </c>
      <c r="EH33" s="4">
        <f t="shared" si="89"/>
        <v>-1.8831936071675495</v>
      </c>
      <c r="EI33" s="4">
        <f t="shared" si="89"/>
        <v>-6.6925804232110178</v>
      </c>
      <c r="EJ33" s="4">
        <f t="shared" si="89"/>
        <v>2.4711802463160546</v>
      </c>
      <c r="EK33" s="4">
        <f t="shared" si="89"/>
        <v>-0.96126645988398951</v>
      </c>
      <c r="EL33" s="4">
        <f t="shared" si="89"/>
        <v>-12.523930914644801</v>
      </c>
      <c r="EM33" s="4">
        <f t="shared" si="89"/>
        <v>-2.7865846347574004</v>
      </c>
    </row>
    <row r="34" spans="1:143" ht="18" customHeight="1">
      <c r="A34" s="2">
        <f t="shared" si="14"/>
        <v>33</v>
      </c>
      <c r="B34" s="9" t="s">
        <v>902</v>
      </c>
      <c r="C34" s="9"/>
      <c r="D34" s="9"/>
      <c r="E34" s="9"/>
      <c r="F34" s="9"/>
      <c r="G34" s="9"/>
      <c r="I34" s="15" t="s">
        <v>55</v>
      </c>
      <c r="J34" s="15">
        <v>32</v>
      </c>
      <c r="K34" s="4">
        <v>-0.97286899999999998</v>
      </c>
      <c r="L34" s="4">
        <v>2.6099190000000001</v>
      </c>
      <c r="M34" s="4">
        <v>-1.309183</v>
      </c>
      <c r="N34" s="4">
        <v>-0.92711600000000005</v>
      </c>
      <c r="O34" s="4">
        <v>-1.5218430000000001</v>
      </c>
      <c r="P34" s="4">
        <v>-0.99390599999999996</v>
      </c>
      <c r="Q34" s="4">
        <v>-1.850946</v>
      </c>
      <c r="R34" s="4">
        <v>1.1722060000000001</v>
      </c>
      <c r="S34" s="4">
        <v>1.1947700000000001</v>
      </c>
      <c r="T34" s="4">
        <v>-0.65266800000000003</v>
      </c>
      <c r="V34" s="19" t="s">
        <v>1215</v>
      </c>
      <c r="W34" s="21"/>
      <c r="X34" s="21"/>
      <c r="Y34" s="21"/>
      <c r="Z34" s="21"/>
      <c r="AA34" s="21"/>
      <c r="AB34" s="21"/>
      <c r="AC34" s="21"/>
      <c r="AD34" s="19" t="s">
        <v>1206</v>
      </c>
      <c r="AE34" s="19"/>
      <c r="AF34" s="21"/>
      <c r="AG34" s="19" t="s">
        <v>1206</v>
      </c>
      <c r="AH34" s="19"/>
      <c r="AI34" s="18"/>
      <c r="AJ34" s="23"/>
      <c r="AK34" s="16"/>
      <c r="AL34" s="16"/>
      <c r="AM34" s="16"/>
      <c r="AN34" s="16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4">
        <v>1.4440586803730002</v>
      </c>
      <c r="BT34" s="4">
        <v>-0.70830920154299981</v>
      </c>
      <c r="BU34" s="4">
        <v>1.2726774023540002</v>
      </c>
      <c r="BV34" s="4">
        <v>2.2769408188639999</v>
      </c>
      <c r="BW34" s="4">
        <v>0.72336058569200001</v>
      </c>
      <c r="BX34" s="4"/>
      <c r="BY34" s="4">
        <v>-0.43887600414291789</v>
      </c>
      <c r="BZ34" s="4">
        <v>-0.45870247510181089</v>
      </c>
      <c r="CA34" s="4">
        <v>-0.55568588150508702</v>
      </c>
      <c r="CB34" s="4">
        <v>-0.32041929112549067</v>
      </c>
      <c r="CC34" s="4">
        <v>0.52820809125820145</v>
      </c>
      <c r="CD34" s="4">
        <v>0.1060296233922898</v>
      </c>
      <c r="CE34" s="4">
        <v>0.45794651503973655</v>
      </c>
      <c r="CF34" s="4">
        <v>-0.11238977027157218</v>
      </c>
      <c r="CG34" s="4">
        <v>-0.48101231060880911</v>
      </c>
      <c r="CH34" s="4">
        <v>0.67334094608236739</v>
      </c>
      <c r="CI34" s="4">
        <v>-0.59740751213516741</v>
      </c>
      <c r="CK34" s="4" cm="1">
        <f t="array" ref="CK34">EXP(BY34)/SUM(EXP($BY$34:$CI$34))</f>
        <v>5.8679564452036141E-2</v>
      </c>
      <c r="CL34" s="4" cm="1">
        <f t="array" ref="CL34">EXP(BZ34)/SUM(EXP($BY$34:$CI$34))</f>
        <v>5.7527613071542465E-2</v>
      </c>
      <c r="CM34" s="4" cm="1">
        <f t="array" ref="CM34">EXP(CA34)/SUM(EXP($BY$34:$CI$34))</f>
        <v>5.221039711267584E-2</v>
      </c>
      <c r="CN34" s="4" cm="1">
        <f t="array" ref="CN34">EXP(CB34)/SUM(EXP($BY$34:$CI$34))</f>
        <v>6.6058997472850059E-2</v>
      </c>
      <c r="CO34" s="4" cm="1">
        <f t="array" ref="CO34">EXP(CC34)/SUM(EXP($BY$34:$CI$34))</f>
        <v>0.15434272646993721</v>
      </c>
      <c r="CP34" s="4" cm="1">
        <f t="array" ref="CP34">EXP(CD34)/SUM(EXP($BY$34:$CI$34))</f>
        <v>0.10118971875438913</v>
      </c>
      <c r="CQ34" s="4" cm="1">
        <f t="array" ref="CQ34">EXP(CE34)/SUM(EXP($BY$34:$CI$34))</f>
        <v>0.14387056626693753</v>
      </c>
      <c r="CR34" s="4" cm="1">
        <f t="array" ref="CR34">EXP(CF34)/SUM(EXP($BY$34:$CI$34))</f>
        <v>8.133510870219017E-2</v>
      </c>
      <c r="CS34" s="4" cm="1">
        <f t="array" ref="CS34">EXP(CG34)/SUM(EXP($BY$34:$CI$34))</f>
        <v>5.6258392184948589E-2</v>
      </c>
      <c r="CT34" s="4" cm="1">
        <f t="array" ref="CT34">EXP(CH34)/SUM(EXP($BY$34:$CI$34))</f>
        <v>0.17845000555162335</v>
      </c>
      <c r="CU34" s="4" cm="1">
        <f t="array" ref="CU34">EXP(CI34)/SUM(EXP($BY$34:$CI$34))</f>
        <v>5.0076909960869609E-2</v>
      </c>
      <c r="DJ34" s="5">
        <v>-7.2446999999999998E-2</v>
      </c>
      <c r="DK34" s="5">
        <v>-0.660443</v>
      </c>
      <c r="DL34" s="5">
        <v>-1.5772999999999999E-2</v>
      </c>
      <c r="DM34" s="5">
        <v>-8.4034999999999999E-2</v>
      </c>
      <c r="DN34" s="5">
        <v>-0.56417399999999995</v>
      </c>
      <c r="DO34" s="5">
        <v>0.16292400000000001</v>
      </c>
      <c r="DP34" s="5">
        <v>4.0272000000000002E-2</v>
      </c>
      <c r="DQ34" s="5">
        <v>-5.4468000000000003E-2</v>
      </c>
      <c r="DR34" s="5">
        <v>0.49803599999999998</v>
      </c>
      <c r="DS34" s="5">
        <v>-4.8593999999999998E-2</v>
      </c>
      <c r="DU34" s="4">
        <v>-1.6340510392394472</v>
      </c>
      <c r="DV34" s="4">
        <v>1.5579579578715477</v>
      </c>
      <c r="DW34" s="4">
        <v>-0.28406532465539713</v>
      </c>
      <c r="DX34" s="4">
        <v>-0.97561726061056386</v>
      </c>
      <c r="DY34" s="4">
        <v>3.1887088862673427</v>
      </c>
      <c r="DZ34" s="4">
        <v>-4.3307071992019672</v>
      </c>
      <c r="EA34" s="4">
        <v>-9.0718063349790494</v>
      </c>
      <c r="EB34" s="4">
        <v>-3.5582121455298306</v>
      </c>
      <c r="EF34" s="4">
        <f>DU$34+DJ$39</f>
        <v>-1.0934290392394472</v>
      </c>
      <c r="EG34" s="4">
        <f t="shared" ref="EG34:EM34" si="90">DV$34+DK$39</f>
        <v>1.3119559578715476</v>
      </c>
      <c r="EH34" s="4">
        <f t="shared" si="90"/>
        <v>-1.3300324655397155E-2</v>
      </c>
      <c r="EI34" s="4">
        <f t="shared" si="90"/>
        <v>-0.88658926061056387</v>
      </c>
      <c r="EJ34" s="4">
        <f t="shared" si="90"/>
        <v>3.1639198862673426</v>
      </c>
      <c r="EK34" s="4">
        <f t="shared" si="90"/>
        <v>-4.743767199201967</v>
      </c>
      <c r="EL34" s="4">
        <f t="shared" si="90"/>
        <v>-9.0641753349790495</v>
      </c>
      <c r="EM34" s="4">
        <f t="shared" si="90"/>
        <v>-3.6207281455298306</v>
      </c>
    </row>
    <row r="35" spans="1:143" ht="18" customHeight="1">
      <c r="A35" s="2">
        <f t="shared" si="14"/>
        <v>34</v>
      </c>
      <c r="B35" s="9" t="s">
        <v>903</v>
      </c>
      <c r="C35" s="9"/>
      <c r="D35" s="9"/>
      <c r="E35" s="9"/>
      <c r="F35" s="9"/>
      <c r="G35" s="9"/>
      <c r="I35" s="15" t="s">
        <v>56</v>
      </c>
      <c r="J35" s="15">
        <v>33</v>
      </c>
      <c r="K35" s="4">
        <v>-0.78543300000000005</v>
      </c>
      <c r="L35" s="4">
        <v>-0.39715600000000001</v>
      </c>
      <c r="M35" s="4">
        <v>-0.87900900000000004</v>
      </c>
      <c r="N35" s="4">
        <v>0.16806099999999999</v>
      </c>
      <c r="O35" s="4">
        <v>-0.20338200000000001</v>
      </c>
      <c r="P35" s="4">
        <v>0.35865200000000003</v>
      </c>
      <c r="Q35" s="4">
        <v>-0.29880899999999999</v>
      </c>
      <c r="R35" s="4">
        <v>-2.4429080000000001</v>
      </c>
      <c r="S35" s="4">
        <v>0.35184700000000002</v>
      </c>
      <c r="T35" s="4">
        <v>4.3702999999999999E-2</v>
      </c>
      <c r="V35" s="19" t="s">
        <v>1245</v>
      </c>
      <c r="W35" s="21"/>
      <c r="X35" s="21"/>
      <c r="Y35" s="21"/>
      <c r="Z35" s="21"/>
      <c r="AA35" s="21"/>
      <c r="AB35" s="21"/>
      <c r="AC35" s="21"/>
      <c r="AD35" s="19" t="s">
        <v>1209</v>
      </c>
      <c r="AE35" s="19"/>
      <c r="AF35" s="21"/>
      <c r="AG35" s="19" t="s">
        <v>1209</v>
      </c>
      <c r="AH35" s="19"/>
      <c r="AI35" s="18"/>
      <c r="AJ35" s="23"/>
      <c r="AK35" s="16"/>
      <c r="AL35" s="16"/>
      <c r="AM35" s="16"/>
      <c r="AN35" s="16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4">
        <v>1.1169602845970001</v>
      </c>
      <c r="BT35" s="4">
        <v>0.91958442690800002</v>
      </c>
      <c r="BU35" s="4">
        <v>1.2254366610530001</v>
      </c>
      <c r="BV35" s="4">
        <v>-0.39824983341100006</v>
      </c>
      <c r="BW35" s="4">
        <v>1.2099658569999949E-2</v>
      </c>
      <c r="BX35" s="4"/>
      <c r="BY35" s="4">
        <v>-1.9999041269578115</v>
      </c>
      <c r="BZ35" s="4">
        <v>7.296874315751245E-2</v>
      </c>
      <c r="CA35" s="4">
        <v>0.82879276946956437</v>
      </c>
      <c r="CB35" s="4">
        <v>4.7204516812031118E-3</v>
      </c>
      <c r="CC35" s="4">
        <v>1.3642946470322932</v>
      </c>
      <c r="CD35" s="4">
        <v>0.35727116370262091</v>
      </c>
      <c r="CE35" s="4">
        <v>-7.8379605724046605E-2</v>
      </c>
      <c r="CF35" s="4">
        <v>-0.69324948698701172</v>
      </c>
      <c r="CG35" s="4">
        <v>-0.6660726971669072</v>
      </c>
      <c r="CH35" s="4">
        <v>-1.8452805418162266</v>
      </c>
      <c r="CI35" s="4">
        <v>0.70363549573207584</v>
      </c>
      <c r="CK35" s="4" cm="1">
        <f t="array" ref="CK35">EXP(BY35)/SUM(EXP($BY$35:$CI$35))</f>
        <v>9.6912225599709457E-3</v>
      </c>
      <c r="CL35" s="4" cm="1">
        <f t="array" ref="CL35">EXP(BZ35)/SUM(EXP($BY$35:$CI$35))</f>
        <v>7.7022181765079967E-2</v>
      </c>
      <c r="CM35" s="4" cm="1">
        <f t="array" ref="CM35">EXP(CA35)/SUM(EXP($BY$35:$CI$35))</f>
        <v>0.16400837302498084</v>
      </c>
      <c r="CN35" s="4" cm="1">
        <f t="array" ref="CN35">EXP(CB35)/SUM(EXP($BY$35:$CI$35))</f>
        <v>7.1940915477968798E-2</v>
      </c>
      <c r="CO35" s="4" cm="1">
        <f t="array" ref="CO35">EXP(CC35)/SUM(EXP($BY$35:$CI$35))</f>
        <v>0.28017638719915389</v>
      </c>
      <c r="CP35" s="4" cm="1">
        <f t="array" ref="CP35">EXP(CD35)/SUM(EXP($BY$35:$CI$35))</f>
        <v>0.10234975064265121</v>
      </c>
      <c r="CQ35" s="4" cm="1">
        <f t="array" ref="CQ35">EXP(CE35)/SUM(EXP($BY$35:$CI$35))</f>
        <v>6.6204279532375565E-2</v>
      </c>
      <c r="CR35" s="4" cm="1">
        <f t="array" ref="CR35">EXP(CF35)/SUM(EXP($BY$35:$CI$35))</f>
        <v>3.579739856895503E-2</v>
      </c>
      <c r="CS35" s="4" cm="1">
        <f t="array" ref="CS35">EXP(CG35)/SUM(EXP($BY$35:$CI$35))</f>
        <v>3.6783597103155694E-2</v>
      </c>
      <c r="CT35" s="4" cm="1">
        <f t="array" ref="CT35">EXP(CH35)/SUM(EXP($BY$35:$CI$35))</f>
        <v>1.1311774453539581E-2</v>
      </c>
      <c r="CU35" s="4" cm="1">
        <f t="array" ref="CU35">EXP(CI35)/SUM(EXP($BY$35:$CI$35))</f>
        <v>0.14471411967216852</v>
      </c>
      <c r="DJ35" s="5">
        <v>7.2847999999999996E-2</v>
      </c>
      <c r="DK35" s="5">
        <v>0.34427200000000002</v>
      </c>
      <c r="DL35" s="5">
        <v>-0.814975</v>
      </c>
      <c r="DM35" s="5">
        <v>-0.223326</v>
      </c>
      <c r="DN35" s="5">
        <v>6.6399999999999999E-4</v>
      </c>
      <c r="DO35" s="5">
        <v>-1.2909090000000001</v>
      </c>
      <c r="DP35" s="5">
        <v>5.6293000000000003E-2</v>
      </c>
      <c r="DQ35" s="5">
        <v>0.25908500000000001</v>
      </c>
      <c r="DR35" s="5">
        <v>7.3754E-2</v>
      </c>
      <c r="DS35" s="5">
        <v>-0.229184</v>
      </c>
      <c r="DU35" s="4">
        <v>-3.1366444334354626</v>
      </c>
      <c r="DV35" s="4">
        <v>3.367842637024522</v>
      </c>
      <c r="DW35" s="4">
        <v>-1.2200844779032032</v>
      </c>
      <c r="DX35" s="4">
        <v>-2.949467876301259</v>
      </c>
      <c r="DY35" s="4">
        <v>4.4322182683705753</v>
      </c>
      <c r="DZ35" s="4">
        <v>-4.9188452997449028</v>
      </c>
      <c r="EA35" s="4">
        <v>-13.810121622840622</v>
      </c>
      <c r="EB35" s="4">
        <v>-4.705343338976915</v>
      </c>
      <c r="EF35" s="4">
        <f>DU$35+DJ$39</f>
        <v>-2.5960224334354627</v>
      </c>
      <c r="EG35" s="4">
        <f t="shared" ref="EG35:EM35" si="91">DV$35+DK$39</f>
        <v>3.1218406370245222</v>
      </c>
      <c r="EH35" s="4">
        <f t="shared" si="91"/>
        <v>-0.94931947790320326</v>
      </c>
      <c r="EI35" s="4">
        <f t="shared" si="91"/>
        <v>-2.8604398763012591</v>
      </c>
      <c r="EJ35" s="4">
        <f t="shared" si="91"/>
        <v>4.4074292683705751</v>
      </c>
      <c r="EK35" s="4">
        <f t="shared" si="91"/>
        <v>-5.3319052997449026</v>
      </c>
      <c r="EL35" s="4">
        <f t="shared" si="91"/>
        <v>-13.802490622840622</v>
      </c>
      <c r="EM35" s="4">
        <f t="shared" si="91"/>
        <v>-4.7678593389769146</v>
      </c>
    </row>
    <row r="36" spans="1:143" ht="18" customHeight="1">
      <c r="A36" s="2">
        <f t="shared" si="14"/>
        <v>35</v>
      </c>
      <c r="B36" s="9" t="s">
        <v>904</v>
      </c>
      <c r="C36" s="9"/>
      <c r="D36" s="9"/>
      <c r="E36" s="9"/>
      <c r="F36" s="9"/>
      <c r="G36" s="9"/>
      <c r="I36" s="15" t="s">
        <v>57</v>
      </c>
      <c r="J36" s="15">
        <v>34</v>
      </c>
      <c r="K36" s="4">
        <v>0.346665</v>
      </c>
      <c r="L36" s="4">
        <v>-1.21858</v>
      </c>
      <c r="M36" s="4">
        <v>0.90754299999999999</v>
      </c>
      <c r="N36" s="4">
        <v>0.50031000000000003</v>
      </c>
      <c r="O36" s="4">
        <v>-2.671951</v>
      </c>
      <c r="P36" s="4">
        <v>1.659321</v>
      </c>
      <c r="Q36" s="4">
        <v>0.13635900000000001</v>
      </c>
      <c r="R36" s="4">
        <v>1.630198</v>
      </c>
      <c r="S36" s="4">
        <v>2.2490019999999999</v>
      </c>
      <c r="T36" s="4">
        <v>-0.35671000000000003</v>
      </c>
      <c r="V36" s="19" t="s">
        <v>1228</v>
      </c>
      <c r="W36" s="21"/>
      <c r="X36" s="21"/>
      <c r="Y36" s="21"/>
      <c r="Z36" s="21"/>
      <c r="AA36" s="21"/>
      <c r="AB36" s="21"/>
      <c r="AC36" s="21"/>
      <c r="AD36" s="19" t="s">
        <v>1209</v>
      </c>
      <c r="AE36" s="19"/>
      <c r="AF36" s="21"/>
      <c r="AG36" s="19" t="s">
        <v>1209</v>
      </c>
      <c r="AH36" s="19"/>
      <c r="AI36" s="18"/>
      <c r="AJ36" s="23"/>
      <c r="AK36" s="16"/>
      <c r="AL36" s="16"/>
      <c r="AM36" s="16"/>
      <c r="AN36" s="16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4">
        <v>-0.31201262952799996</v>
      </c>
      <c r="BT36" s="4">
        <v>-0.42690888279599998</v>
      </c>
      <c r="BU36" s="4">
        <v>-1.7574237518459999</v>
      </c>
      <c r="BV36" s="4">
        <v>0.89523306894599974</v>
      </c>
      <c r="BW36" s="4">
        <v>-1.353497938676</v>
      </c>
      <c r="BX36" s="4"/>
      <c r="BY36" s="4">
        <v>2.0761456794920319</v>
      </c>
      <c r="BZ36" s="4">
        <v>-0.29272830375220465</v>
      </c>
      <c r="CA36" s="4">
        <v>-1.2217575178852218</v>
      </c>
      <c r="CB36" s="4">
        <v>0.44789583466720206</v>
      </c>
      <c r="CC36" s="4">
        <v>-1.38439523104478</v>
      </c>
      <c r="CD36" s="4">
        <v>0.39005238756659588</v>
      </c>
      <c r="CE36" s="4">
        <v>0.33742495141136519</v>
      </c>
      <c r="CF36" s="4">
        <v>0.66226900765664687</v>
      </c>
      <c r="CG36" s="4">
        <v>1.1015889066296298</v>
      </c>
      <c r="CH36" s="4">
        <v>2.7499287335827693</v>
      </c>
      <c r="CI36" s="4">
        <v>0.45205839260945013</v>
      </c>
      <c r="CK36" s="4" cm="1">
        <f t="array" ref="CK36">EXP(BY36)/SUM(EXP($BY$36:$CI$36))</f>
        <v>0.22229567498691979</v>
      </c>
      <c r="CL36" s="4" cm="1">
        <f t="array" ref="CL36">EXP(BZ36)/SUM(EXP($BY$36:$CI$36))</f>
        <v>2.0803773359888693E-2</v>
      </c>
      <c r="CM36" s="4" cm="1">
        <f t="array" ref="CM36">EXP(CA36)/SUM(EXP($BY$36:$CI$36))</f>
        <v>8.2161782482838043E-3</v>
      </c>
      <c r="CN36" s="4" cm="1">
        <f t="array" ref="CN36">EXP(CB36)/SUM(EXP($BY$36:$CI$36))</f>
        <v>4.3630590451891264E-2</v>
      </c>
      <c r="CO36" s="4" cm="1">
        <f t="array" ref="CO36">EXP(CC36)/SUM(EXP($BY$36:$CI$36))</f>
        <v>6.982922004730642E-3</v>
      </c>
      <c r="CP36" s="4" cm="1">
        <f t="array" ref="CP36">EXP(CD36)/SUM(EXP($BY$36:$CI$36))</f>
        <v>4.1178450487789002E-2</v>
      </c>
      <c r="CQ36" s="4" cm="1">
        <f t="array" ref="CQ36">EXP(CE36)/SUM(EXP($BY$36:$CI$36))</f>
        <v>3.9067371766828007E-2</v>
      </c>
      <c r="CR36" s="4" cm="1">
        <f t="array" ref="CR36">EXP(CF36)/SUM(EXP($BY$36:$CI$36))</f>
        <v>5.4062008493234663E-2</v>
      </c>
      <c r="CS36" s="4" cm="1">
        <f t="array" ref="CS36">EXP(CG36)/SUM(EXP($BY$36:$CI$36))</f>
        <v>8.3885400882907774E-2</v>
      </c>
      <c r="CT36" s="4" cm="1">
        <f t="array" ref="CT36">EXP(CH36)/SUM(EXP($BY$36:$CI$36))</f>
        <v>0.43606504548861752</v>
      </c>
      <c r="CU36" s="4" cm="1">
        <f t="array" ref="CU36">EXP(CI36)/SUM(EXP($BY$36:$CI$36))</f>
        <v>4.3812583828908729E-2</v>
      </c>
      <c r="DJ36" s="5">
        <v>-0.12825900000000001</v>
      </c>
      <c r="DK36" s="5">
        <v>-4.5319999999999999E-2</v>
      </c>
      <c r="DL36" s="5">
        <v>-3.6450000000000003E-2</v>
      </c>
      <c r="DM36" s="5">
        <v>-0.285076</v>
      </c>
      <c r="DN36" s="5">
        <v>-0.60761600000000004</v>
      </c>
      <c r="DO36" s="5">
        <v>-0.44205499999999998</v>
      </c>
      <c r="DP36" s="5">
        <v>-0.45348899999999998</v>
      </c>
      <c r="DQ36" s="5">
        <v>-0.199071</v>
      </c>
      <c r="DR36" s="5">
        <v>-0.38563199999999997</v>
      </c>
      <c r="DS36" s="5">
        <v>-0.49965100000000001</v>
      </c>
      <c r="DU36" s="4">
        <v>0.65228019511385171</v>
      </c>
      <c r="DV36" s="4">
        <v>-0.24323510462343109</v>
      </c>
      <c r="DW36" s="4">
        <v>-3.5543606307675186</v>
      </c>
      <c r="DX36" s="4">
        <v>-4.6806729099325057</v>
      </c>
      <c r="DY36" s="4">
        <v>-3.3615691537644272</v>
      </c>
      <c r="DZ36" s="4">
        <v>1.8448373635716506</v>
      </c>
      <c r="EA36" s="4">
        <v>-5.6598824253029232</v>
      </c>
      <c r="EB36" s="4">
        <v>2.917960325230641</v>
      </c>
      <c r="EF36" s="4">
        <f>DU$36+DJ$39</f>
        <v>1.1929021951138519</v>
      </c>
      <c r="EG36" s="4">
        <f t="shared" ref="EG36:EM36" si="92">DV$36+DK$39</f>
        <v>-0.48923710462343106</v>
      </c>
      <c r="EH36" s="4">
        <f t="shared" si="92"/>
        <v>-3.2835956307675187</v>
      </c>
      <c r="EI36" s="4">
        <f t="shared" si="92"/>
        <v>-4.5916449099325058</v>
      </c>
      <c r="EJ36" s="4">
        <f t="shared" si="92"/>
        <v>-3.3863581537644274</v>
      </c>
      <c r="EK36" s="4">
        <f t="shared" si="92"/>
        <v>1.4317773635716506</v>
      </c>
      <c r="EL36" s="4">
        <f t="shared" si="92"/>
        <v>-5.6522514253029232</v>
      </c>
      <c r="EM36" s="4">
        <f t="shared" si="92"/>
        <v>2.855444325230641</v>
      </c>
    </row>
    <row r="37" spans="1:143" ht="18" customHeight="1">
      <c r="A37" s="2">
        <f t="shared" si="14"/>
        <v>36</v>
      </c>
      <c r="B37" s="9" t="s">
        <v>905</v>
      </c>
      <c r="C37" s="9"/>
      <c r="D37" s="9"/>
      <c r="E37" s="9"/>
      <c r="F37" s="9"/>
      <c r="G37" s="9"/>
      <c r="I37" s="15" t="s">
        <v>58</v>
      </c>
      <c r="J37" s="15">
        <v>35</v>
      </c>
      <c r="K37" s="4">
        <v>1.5888180000000001</v>
      </c>
      <c r="L37" s="4">
        <v>-2.087529</v>
      </c>
      <c r="M37" s="4">
        <v>-1.2401720000000001</v>
      </c>
      <c r="N37" s="4">
        <v>-0.59543199999999996</v>
      </c>
      <c r="O37" s="4">
        <v>-0.48467300000000002</v>
      </c>
      <c r="P37" s="4">
        <v>-0.99222100000000002</v>
      </c>
      <c r="Q37" s="4">
        <v>0.64887799999999995</v>
      </c>
      <c r="R37" s="4">
        <v>-1.056397</v>
      </c>
      <c r="S37" s="4">
        <v>-0.27267999999999998</v>
      </c>
      <c r="T37" s="4">
        <v>0.86216199999999998</v>
      </c>
      <c r="V37" s="19" t="s">
        <v>1237</v>
      </c>
      <c r="W37" s="21"/>
      <c r="X37" s="21"/>
      <c r="Y37" s="21"/>
      <c r="Z37" s="21"/>
      <c r="AA37" s="21"/>
      <c r="AB37" s="21"/>
      <c r="AC37" s="21"/>
      <c r="AD37" s="19" t="s">
        <v>1204</v>
      </c>
      <c r="AE37" s="19"/>
      <c r="AF37" s="21"/>
      <c r="AG37" s="19" t="s">
        <v>1204</v>
      </c>
      <c r="AH37" s="19"/>
      <c r="AI37" s="18"/>
      <c r="AJ37" s="23"/>
      <c r="AK37" s="16"/>
      <c r="AL37" s="16"/>
      <c r="AM37" s="16"/>
      <c r="AN37" s="16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4">
        <v>1.2667022466979998</v>
      </c>
      <c r="BT37" s="4">
        <v>2.3243678617970001</v>
      </c>
      <c r="BU37" s="4">
        <v>1.7353165206369998</v>
      </c>
      <c r="BV37" s="4">
        <v>-0.919373253404</v>
      </c>
      <c r="BW37" s="4">
        <v>1.6111568007679997</v>
      </c>
      <c r="BX37" s="4"/>
      <c r="BY37" s="4">
        <v>-3.8435541929328396</v>
      </c>
      <c r="BZ37" s="4">
        <v>0.55277199807545618</v>
      </c>
      <c r="CA37" s="4">
        <v>1.7605574404046724</v>
      </c>
      <c r="CB37" s="4">
        <v>-8.1711008603255447E-2</v>
      </c>
      <c r="CC37" s="4">
        <v>2.6528124406693685</v>
      </c>
      <c r="CD37" s="4">
        <v>-0.46126171011701816</v>
      </c>
      <c r="CE37" s="4">
        <v>-5.5196943774861784E-2</v>
      </c>
      <c r="CF37" s="4">
        <v>-1.4260854303629296</v>
      </c>
      <c r="CG37" s="4">
        <v>-1.1887183546402591</v>
      </c>
      <c r="CH37" s="4">
        <v>-4.5880824533718165</v>
      </c>
      <c r="CI37" s="4">
        <v>0.7418508025497984</v>
      </c>
      <c r="CK37" s="4" cm="1">
        <f t="array" ref="CK37">EXP(BY37)/SUM(EXP($BY$37:$CI$37))</f>
        <v>7.9552620761155345E-4</v>
      </c>
      <c r="CL37" s="4" cm="1">
        <f t="array" ref="CL37">EXP(BZ37)/SUM(EXP($BY$37:$CI$37))</f>
        <v>6.4558688162439898E-2</v>
      </c>
      <c r="CM37" s="4" cm="1">
        <f t="array" ref="CM37">EXP(CA37)/SUM(EXP($BY$37:$CI$37))</f>
        <v>0.21601765628845693</v>
      </c>
      <c r="CN37" s="4" cm="1">
        <f t="array" ref="CN37">EXP(CB37)/SUM(EXP($BY$37:$CI$37))</f>
        <v>3.422963185386721E-2</v>
      </c>
      <c r="CO37" s="4" cm="1">
        <f t="array" ref="CO37">EXP(CC37)/SUM(EXP($BY$37:$CI$37))</f>
        <v>0.52721853852105616</v>
      </c>
      <c r="CP37" s="4" cm="1">
        <f t="array" ref="CP37">EXP(CD37)/SUM(EXP($BY$37:$CI$37))</f>
        <v>2.3418843964131433E-2</v>
      </c>
      <c r="CQ37" s="4" cm="1">
        <f t="array" ref="CQ37">EXP(CE37)/SUM(EXP($BY$37:$CI$37))</f>
        <v>3.5149337217266832E-2</v>
      </c>
      <c r="CR37" s="4" cm="1">
        <f t="array" ref="CR37">EXP(CF37)/SUM(EXP($BY$37:$CI$37))</f>
        <v>8.9237590470586606E-3</v>
      </c>
      <c r="CS37" s="4" cm="1">
        <f t="array" ref="CS37">EXP(CG37)/SUM(EXP($BY$37:$CI$37))</f>
        <v>1.1314491654372021E-2</v>
      </c>
      <c r="CT37" s="4" cm="1">
        <f t="array" ref="CT37">EXP(CH37)/SUM(EXP($BY$37:$CI$37))</f>
        <v>3.7784177813337015E-4</v>
      </c>
      <c r="CU37" s="4" cm="1">
        <f t="array" ref="CU37">EXP(CI37)/SUM(EXP($BY$37:$CI$37))</f>
        <v>7.7995685305606105E-2</v>
      </c>
      <c r="DJ37" s="5">
        <v>-0.16556399999999999</v>
      </c>
      <c r="DK37" s="5">
        <v>0.36341099999999998</v>
      </c>
      <c r="DL37" s="5">
        <v>0.62947900000000001</v>
      </c>
      <c r="DM37" s="5">
        <v>6.3950999999999994E-2</v>
      </c>
      <c r="DN37" s="5">
        <v>0.19772799999999999</v>
      </c>
      <c r="DO37" s="5">
        <v>-0.33166699999999999</v>
      </c>
      <c r="DP37" s="5">
        <v>6.7135E-2</v>
      </c>
      <c r="DQ37" s="5">
        <v>-0.506135</v>
      </c>
      <c r="DR37" s="5">
        <v>0.132717</v>
      </c>
      <c r="DS37" s="5">
        <v>-5.9478999999999997E-2</v>
      </c>
      <c r="DU37" s="4">
        <v>3.5182717745526442</v>
      </c>
      <c r="DV37" s="4">
        <v>-3.4449475059053816</v>
      </c>
      <c r="DW37" s="4">
        <v>-3.7868818545846694</v>
      </c>
      <c r="DX37" s="4">
        <v>-5.1416726293781991</v>
      </c>
      <c r="DY37" s="4">
        <v>-5.9986790417779057</v>
      </c>
      <c r="DZ37" s="4">
        <v>-0.40839400043727603</v>
      </c>
      <c r="EA37" s="4">
        <v>-3.8784998444942436</v>
      </c>
      <c r="EB37" s="4">
        <v>5.1932827014287932</v>
      </c>
      <c r="EF37" s="4">
        <f>DU$37+DJ$39</f>
        <v>4.0588937745526446</v>
      </c>
      <c r="EG37" s="4">
        <f t="shared" ref="EG37:EM37" si="93">DV$37+DK$39</f>
        <v>-3.6909495059053814</v>
      </c>
      <c r="EH37" s="4">
        <f t="shared" si="93"/>
        <v>-3.5161168545846695</v>
      </c>
      <c r="EI37" s="4">
        <f t="shared" si="93"/>
        <v>-5.0526446293781992</v>
      </c>
      <c r="EJ37" s="4">
        <f t="shared" si="93"/>
        <v>-6.0234680417779058</v>
      </c>
      <c r="EK37" s="4">
        <f t="shared" si="93"/>
        <v>-0.82145400043727601</v>
      </c>
      <c r="EL37" s="4">
        <f t="shared" si="93"/>
        <v>-3.8708688444942436</v>
      </c>
      <c r="EM37" s="4">
        <f t="shared" si="93"/>
        <v>5.1307667014287937</v>
      </c>
    </row>
    <row r="38" spans="1:143" ht="18" customHeight="1">
      <c r="A38" s="2">
        <f t="shared" si="14"/>
        <v>37</v>
      </c>
      <c r="B38" s="9" t="s">
        <v>906</v>
      </c>
      <c r="C38" s="9"/>
      <c r="D38" s="9"/>
      <c r="E38" s="9"/>
      <c r="F38" s="9"/>
      <c r="G38" s="9"/>
      <c r="I38" s="15" t="s">
        <v>59</v>
      </c>
      <c r="J38" s="15">
        <v>36</v>
      </c>
      <c r="K38" s="4">
        <v>0.42322599999999999</v>
      </c>
      <c r="L38" s="4">
        <v>0.55710800000000005</v>
      </c>
      <c r="M38" s="4">
        <v>0.65212300000000001</v>
      </c>
      <c r="N38" s="4">
        <v>-1.4615260000000001</v>
      </c>
      <c r="O38" s="4">
        <v>1.023908</v>
      </c>
      <c r="P38" s="4">
        <v>5.7959999999999998E-2</v>
      </c>
      <c r="Q38" s="4">
        <v>1.0798749999999999</v>
      </c>
      <c r="R38" s="4">
        <v>2.5132000000000002E-2</v>
      </c>
      <c r="S38" s="4">
        <v>-5.7386E-2</v>
      </c>
      <c r="T38" s="4">
        <v>-0.23978099999999999</v>
      </c>
      <c r="V38" s="19" t="s">
        <v>1246</v>
      </c>
      <c r="W38" s="21"/>
      <c r="X38" s="21"/>
      <c r="Y38" s="21"/>
      <c r="Z38" s="21"/>
      <c r="AA38" s="21"/>
      <c r="AB38" s="21"/>
      <c r="AC38" s="21"/>
      <c r="AD38" s="19" t="s">
        <v>1206</v>
      </c>
      <c r="AE38" s="19"/>
      <c r="AF38" s="21"/>
      <c r="AG38" s="19" t="s">
        <v>1206</v>
      </c>
      <c r="AH38" s="19"/>
      <c r="AI38" s="18"/>
      <c r="AJ38" s="23"/>
      <c r="AK38" s="16"/>
      <c r="AL38" s="16"/>
      <c r="AM38" s="16"/>
      <c r="AN38" s="16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4">
        <v>-5.4673650039219996</v>
      </c>
      <c r="BT38" s="4">
        <v>-4.8016947664580005</v>
      </c>
      <c r="BU38" s="4">
        <v>-10.294701977627998</v>
      </c>
      <c r="BV38" s="4">
        <v>7.3212000190920001</v>
      </c>
      <c r="BW38" s="4">
        <v>-4.44770945439</v>
      </c>
      <c r="BX38" s="4"/>
      <c r="BY38" s="4">
        <v>16.168620427686669</v>
      </c>
      <c r="BZ38" s="4">
        <v>-1.2958601175334723</v>
      </c>
      <c r="CA38" s="4">
        <v>-7.8510840711226955</v>
      </c>
      <c r="CB38" s="4">
        <v>1.6580412094799981</v>
      </c>
      <c r="CC38" s="4">
        <v>-10.522628087240673</v>
      </c>
      <c r="CD38" s="4">
        <v>-0.47732192028501258</v>
      </c>
      <c r="CE38" s="4">
        <v>2.6589386374472141</v>
      </c>
      <c r="CF38" s="4">
        <v>5.5177171829961482</v>
      </c>
      <c r="CG38" s="4">
        <v>6.8210497785203836</v>
      </c>
      <c r="CH38" s="4">
        <v>18.337641860389564</v>
      </c>
      <c r="CI38" s="4">
        <v>-1.4636767245040063</v>
      </c>
      <c r="CK38" s="4" cm="1">
        <f t="array" ref="CK38">EXP(BY38)/SUM(EXP($BY$38:$CI$38))</f>
        <v>0.10256588581462581</v>
      </c>
      <c r="CL38" s="4" cm="1">
        <f t="array" ref="CL38">EXP(BZ38)/SUM(EXP($BY$38:$CI$38))</f>
        <v>2.6685503723252292E-9</v>
      </c>
      <c r="CM38" s="4" cm="1">
        <f t="array" ref="CM38">EXP(CA38)/SUM(EXP($BY$38:$CI$38))</f>
        <v>3.7964511354860191E-12</v>
      </c>
      <c r="CN38" s="4" cm="1">
        <f t="array" ref="CN38">EXP(CB38)/SUM(EXP($BY$38:$CI$38))</f>
        <v>5.1184498384324355E-8</v>
      </c>
      <c r="CO38" s="4" cm="1">
        <f t="array" ref="CO38">EXP(CC38)/SUM(EXP($BY$38:$CI$38))</f>
        <v>2.6250706120935417E-13</v>
      </c>
      <c r="CP38" s="4" cm="1">
        <f t="array" ref="CP38">EXP(CD38)/SUM(EXP($BY$38:$CI$38))</f>
        <v>6.0500926774150909E-9</v>
      </c>
      <c r="CQ38" s="4" cm="1">
        <f t="array" ref="CQ38">EXP(CE38)/SUM(EXP($BY$38:$CI$38))</f>
        <v>1.3925881054701942E-7</v>
      </c>
      <c r="CR38" s="4" cm="1">
        <f t="array" ref="CR38">EXP(CF38)/SUM(EXP($BY$38:$CI$38))</f>
        <v>2.4287031088094268E-6</v>
      </c>
      <c r="CS38" s="4" cm="1">
        <f t="array" ref="CS38">EXP(CG38)/SUM(EXP($BY$38:$CI$38))</f>
        <v>8.9413806316263438E-6</v>
      </c>
      <c r="CT38" s="4" cm="1">
        <f t="array" ref="CT38">EXP(CH38)/SUM(EXP($BY$38:$CI$38))</f>
        <v>0.89742254267933963</v>
      </c>
      <c r="CU38" s="4" cm="1">
        <f t="array" ref="CU38">EXP(CI38)/SUM(EXP($BY$38:$CI$38))</f>
        <v>2.2562830389356815E-9</v>
      </c>
      <c r="DU38" s="4">
        <v>-2.9919360279850551</v>
      </c>
      <c r="DV38" s="4">
        <v>3.9179587015785744</v>
      </c>
      <c r="DW38" s="4">
        <v>-1.8818909786065854</v>
      </c>
      <c r="DX38" s="4">
        <v>-5.9516477270494903</v>
      </c>
      <c r="DY38" s="4">
        <v>1.2932390565609619</v>
      </c>
      <c r="DZ38" s="4">
        <v>0.31988375937697422</v>
      </c>
      <c r="EA38" s="4">
        <v>-10.035173659596017</v>
      </c>
      <c r="EB38" s="4">
        <v>-1.9247616089392316</v>
      </c>
      <c r="EF38" s="4">
        <f>DU$38+DJ$39</f>
        <v>-2.4513140279850552</v>
      </c>
      <c r="EG38" s="4">
        <f t="shared" ref="EG38:EM38" si="94">DV$38+DK$39</f>
        <v>3.6719567015785746</v>
      </c>
      <c r="EH38" s="4">
        <f t="shared" si="94"/>
        <v>-1.6111259786065855</v>
      </c>
      <c r="EI38" s="4">
        <f t="shared" si="94"/>
        <v>-5.8626197270494904</v>
      </c>
      <c r="EJ38" s="4">
        <f t="shared" si="94"/>
        <v>1.268450056560962</v>
      </c>
      <c r="EK38" s="4">
        <f t="shared" si="94"/>
        <v>-9.3176240623025763E-2</v>
      </c>
      <c r="EL38" s="4">
        <f t="shared" si="94"/>
        <v>-10.027542659596017</v>
      </c>
      <c r="EM38" s="4">
        <f t="shared" si="94"/>
        <v>-1.9872776089392317</v>
      </c>
    </row>
    <row r="39" spans="1:143" ht="18" customHeight="1">
      <c r="A39" s="2">
        <f t="shared" si="14"/>
        <v>38</v>
      </c>
      <c r="B39" s="9" t="s">
        <v>907</v>
      </c>
      <c r="C39" s="9"/>
      <c r="D39" s="9"/>
      <c r="E39" s="9"/>
      <c r="F39" s="9"/>
      <c r="G39" s="9"/>
      <c r="I39" s="15" t="s">
        <v>60</v>
      </c>
      <c r="J39" s="15">
        <v>37</v>
      </c>
      <c r="K39" s="4">
        <v>0.73193399999999997</v>
      </c>
      <c r="L39" s="4">
        <v>1.2950360000000001</v>
      </c>
      <c r="M39" s="4">
        <v>2.518319</v>
      </c>
      <c r="N39" s="4">
        <v>-0.67437400000000003</v>
      </c>
      <c r="O39" s="4">
        <v>4.5321E-2</v>
      </c>
      <c r="P39" s="4">
        <v>-0.22984499999999999</v>
      </c>
      <c r="Q39" s="4">
        <v>-1.7464010000000001</v>
      </c>
      <c r="R39" s="4">
        <v>-1.358697</v>
      </c>
      <c r="S39" s="4">
        <v>2.418612</v>
      </c>
      <c r="T39" s="4">
        <v>-1.496591</v>
      </c>
      <c r="V39" s="19" t="s">
        <v>1218</v>
      </c>
      <c r="W39" s="21"/>
      <c r="X39" s="21"/>
      <c r="Y39" s="21"/>
      <c r="Z39" s="21"/>
      <c r="AA39" s="21"/>
      <c r="AB39" s="21"/>
      <c r="AC39" s="21"/>
      <c r="AD39" s="19" t="s">
        <v>1207</v>
      </c>
      <c r="AE39" s="19"/>
      <c r="AF39" s="21"/>
      <c r="AG39" s="19" t="s">
        <v>1207</v>
      </c>
      <c r="AH39" s="19"/>
      <c r="AI39" s="18"/>
      <c r="AJ39" s="23"/>
      <c r="AK39" s="16"/>
      <c r="AL39" s="16"/>
      <c r="AM39" s="16"/>
      <c r="AN39" s="16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E39" s="4"/>
      <c r="CF39" s="4"/>
      <c r="CG39" s="4"/>
      <c r="CH39" s="4"/>
      <c r="CI39" s="4"/>
      <c r="DJ39" s="5">
        <v>0.54062200000000005</v>
      </c>
      <c r="DK39" s="5">
        <v>-0.246002</v>
      </c>
      <c r="DL39" s="5">
        <v>0.27076499999999998</v>
      </c>
      <c r="DM39" s="5">
        <v>8.9027999999999996E-2</v>
      </c>
      <c r="DN39" s="5">
        <v>-2.4788999999999999E-2</v>
      </c>
      <c r="DO39" s="5">
        <v>-0.41305999999999998</v>
      </c>
      <c r="DP39" s="5">
        <v>7.6309999999999998E-3</v>
      </c>
      <c r="DQ39" s="5">
        <v>-6.2516000000000002E-2</v>
      </c>
      <c r="DR39" s="5"/>
      <c r="DS39" s="5"/>
      <c r="DU39" s="4">
        <v>3.1193598012310453</v>
      </c>
      <c r="DV39" s="4">
        <v>-3.2988831817839688</v>
      </c>
      <c r="DW39" s="4">
        <v>-2.5550669823152399</v>
      </c>
      <c r="DX39" s="4">
        <v>-3.7416149955931579</v>
      </c>
      <c r="DY39" s="4">
        <v>-4.4445323230598097</v>
      </c>
      <c r="DZ39" s="4">
        <v>-1.8125306861068637</v>
      </c>
      <c r="EA39" s="4">
        <v>-2.7188500714593267</v>
      </c>
      <c r="EB39" s="4">
        <v>4.1895239504346842</v>
      </c>
      <c r="EF39" s="4">
        <f>DU$39+DJ$39</f>
        <v>3.6599818012310452</v>
      </c>
      <c r="EG39" s="4">
        <f t="shared" ref="EG39:EM39" si="95">DV$39+DK$39</f>
        <v>-3.5448851817839686</v>
      </c>
      <c r="EH39" s="4">
        <f t="shared" si="95"/>
        <v>-2.28430198231524</v>
      </c>
      <c r="EI39" s="4">
        <f t="shared" si="95"/>
        <v>-3.652586995593158</v>
      </c>
      <c r="EJ39" s="4">
        <f t="shared" si="95"/>
        <v>-4.4693213230598099</v>
      </c>
      <c r="EK39" s="4">
        <f t="shared" si="95"/>
        <v>-2.2255906861068637</v>
      </c>
      <c r="EL39" s="4">
        <f t="shared" si="95"/>
        <v>-2.7112190714593267</v>
      </c>
      <c r="EM39" s="4">
        <f t="shared" si="95"/>
        <v>4.1270079504346846</v>
      </c>
    </row>
    <row r="40" spans="1:143" ht="18" customHeight="1">
      <c r="A40" s="2">
        <f t="shared" si="14"/>
        <v>39</v>
      </c>
      <c r="B40" s="9" t="s">
        <v>908</v>
      </c>
      <c r="C40" s="9"/>
      <c r="D40" s="9"/>
      <c r="E40" s="9"/>
      <c r="F40" s="9"/>
      <c r="G40" s="9"/>
      <c r="I40" s="15" t="s">
        <v>61</v>
      </c>
      <c r="J40" s="15">
        <v>38</v>
      </c>
      <c r="K40" s="4">
        <v>1.0224869999999999</v>
      </c>
      <c r="L40" s="4">
        <v>8.3799999999999999E-4</v>
      </c>
      <c r="M40" s="4">
        <v>-1.6959999999999999E-2</v>
      </c>
      <c r="N40" s="4">
        <v>1.776896</v>
      </c>
      <c r="O40" s="4">
        <v>-0.117385</v>
      </c>
      <c r="P40" s="4">
        <v>2.352074</v>
      </c>
      <c r="Q40" s="4">
        <v>-1.0562</v>
      </c>
      <c r="R40" s="4">
        <v>-1.2685759999999999</v>
      </c>
      <c r="S40" s="4">
        <v>-1.1059730000000001</v>
      </c>
      <c r="T40" s="4">
        <v>0.191048</v>
      </c>
      <c r="V40" s="19" t="s">
        <v>1247</v>
      </c>
      <c r="W40" s="21"/>
      <c r="X40" s="21"/>
      <c r="Y40" s="21"/>
      <c r="Z40" s="21"/>
      <c r="AA40" s="21"/>
      <c r="AB40" s="21"/>
      <c r="AC40" s="21"/>
      <c r="AD40" s="19" t="s">
        <v>1206</v>
      </c>
      <c r="AE40" s="19"/>
      <c r="AF40" s="21"/>
      <c r="AG40" s="19" t="s">
        <v>1206</v>
      </c>
      <c r="AH40" s="19"/>
      <c r="AI40" s="18"/>
      <c r="AJ40" s="23"/>
      <c r="AK40" s="16"/>
      <c r="AL40" s="16"/>
      <c r="AM40" s="16"/>
      <c r="AN40" s="16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H40" s="2" t="s">
        <v>5</v>
      </c>
      <c r="BS40" s="2" t="s">
        <v>8</v>
      </c>
      <c r="BZ40" s="2" t="s">
        <v>6</v>
      </c>
      <c r="CK40" s="2" t="s">
        <v>9</v>
      </c>
      <c r="CQ40" s="2" t="s">
        <v>12</v>
      </c>
      <c r="DU40" s="4">
        <v>-4.1247504040276528</v>
      </c>
      <c r="DV40" s="4">
        <v>4.8972072500098518</v>
      </c>
      <c r="DW40" s="4">
        <v>-3.9903526371508957</v>
      </c>
      <c r="DX40" s="4">
        <v>-8.2959677429490188</v>
      </c>
      <c r="DY40" s="4">
        <v>1.1788790561064317</v>
      </c>
      <c r="DZ40" s="4">
        <v>1.1949535996891898</v>
      </c>
      <c r="EA40" s="4">
        <v>-14.660948203231051</v>
      </c>
      <c r="EB40" s="4">
        <v>-1.2752758789528964</v>
      </c>
      <c r="EF40" s="4">
        <f>DU$40+DJ$39</f>
        <v>-3.5841284040276529</v>
      </c>
      <c r="EG40" s="4">
        <f t="shared" ref="EG40:EM40" si="96">DV$40+DK$39</f>
        <v>4.651205250009852</v>
      </c>
      <c r="EH40" s="4">
        <f t="shared" si="96"/>
        <v>-3.7195876371508958</v>
      </c>
      <c r="EI40" s="4">
        <f t="shared" si="96"/>
        <v>-8.2069397429490181</v>
      </c>
      <c r="EJ40" s="4">
        <f t="shared" si="96"/>
        <v>1.1540900561064318</v>
      </c>
      <c r="EK40" s="4">
        <f t="shared" si="96"/>
        <v>0.78189359968918981</v>
      </c>
      <c r="EL40" s="4">
        <f t="shared" si="96"/>
        <v>-14.653317203231051</v>
      </c>
      <c r="EM40" s="4">
        <f t="shared" si="96"/>
        <v>-1.3377918789528964</v>
      </c>
    </row>
    <row r="41" spans="1:143" ht="18" customHeight="1">
      <c r="A41" s="2">
        <f t="shared" si="14"/>
        <v>40</v>
      </c>
      <c r="B41" s="9" t="s">
        <v>909</v>
      </c>
      <c r="C41" s="9"/>
      <c r="D41" s="9"/>
      <c r="E41" s="9"/>
      <c r="F41" s="9"/>
      <c r="G41" s="9"/>
      <c r="I41" s="15" t="s">
        <v>62</v>
      </c>
      <c r="J41" s="15">
        <v>39</v>
      </c>
      <c r="K41" s="4">
        <v>0.59686099999999997</v>
      </c>
      <c r="L41" s="4">
        <v>-2.7137180000000001</v>
      </c>
      <c r="M41" s="4">
        <v>-2.0782240000000001</v>
      </c>
      <c r="N41" s="4">
        <v>0.80349000000000004</v>
      </c>
      <c r="O41" s="4">
        <v>1.338681</v>
      </c>
      <c r="P41" s="4">
        <v>-0.64274600000000004</v>
      </c>
      <c r="Q41" s="4">
        <v>-7.0028000000000007E-2</v>
      </c>
      <c r="R41" s="4">
        <v>7.3825000000000002E-2</v>
      </c>
      <c r="S41" s="4">
        <v>1.1185449999999999</v>
      </c>
      <c r="T41" s="4">
        <v>-0.89681900000000003</v>
      </c>
      <c r="V41" s="19" t="s">
        <v>1248</v>
      </c>
      <c r="W41" s="21"/>
      <c r="X41" s="21"/>
      <c r="Y41" s="21"/>
      <c r="Z41" s="21"/>
      <c r="AA41" s="21"/>
      <c r="AB41" s="21"/>
      <c r="AC41" s="21"/>
      <c r="AD41" s="19" t="s">
        <v>1209</v>
      </c>
      <c r="AE41" s="19"/>
      <c r="AF41" s="21"/>
      <c r="AG41" s="19" t="s">
        <v>1209</v>
      </c>
      <c r="AH41" s="19"/>
      <c r="AI41" s="18"/>
      <c r="AJ41" s="23"/>
      <c r="AK41" s="16"/>
      <c r="AL41" s="16"/>
      <c r="AM41" s="16"/>
      <c r="AN41" s="16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H41" s="5">
        <v>0.25947799999999999</v>
      </c>
      <c r="BI41" s="5">
        <v>0.30715900000000002</v>
      </c>
      <c r="BJ41" s="5">
        <v>0.30862899999999999</v>
      </c>
      <c r="BK41" s="5">
        <v>0.11053200000000001</v>
      </c>
      <c r="BL41" s="5">
        <v>-0.227299</v>
      </c>
      <c r="BM41" s="5">
        <v>-0.42251699999999998</v>
      </c>
      <c r="BN41" s="5">
        <v>-6.3034999999999994E-2</v>
      </c>
      <c r="BO41" s="5">
        <v>0.26536199999999999</v>
      </c>
      <c r="BP41" s="5">
        <v>-0.199826</v>
      </c>
      <c r="BQ41" s="5">
        <v>0.218002</v>
      </c>
      <c r="BR41" s="5"/>
      <c r="BS41" s="4" cm="1">
        <f t="array" ref="BS41:BW51">MMULT($AV$2:$BE$12,TRANSPOSE(BH41:BQ45))</f>
        <v>-2.9676747954140001</v>
      </c>
      <c r="BT41" s="4">
        <v>-1.2519669087540002</v>
      </c>
      <c r="BU41" s="4">
        <v>-0.90802733086300003</v>
      </c>
      <c r="BV41" s="4">
        <v>1.8298365292540004</v>
      </c>
      <c r="BW41" s="4">
        <v>-1.3823458956950001</v>
      </c>
      <c r="BX41" s="4"/>
      <c r="BZ41" s="5">
        <v>-0.56364099999999995</v>
      </c>
      <c r="CA41" s="5">
        <v>-0.45067800000000002</v>
      </c>
      <c r="CB41" s="5">
        <v>-0.47474100000000002</v>
      </c>
      <c r="CC41" s="5">
        <v>-0.29930400000000001</v>
      </c>
      <c r="CD41" s="5">
        <v>0.120272</v>
      </c>
      <c r="CE41" s="5">
        <v>0.22222800000000001</v>
      </c>
      <c r="CF41" s="5">
        <v>-0.56341200000000002</v>
      </c>
      <c r="CG41" s="5">
        <v>0.29031899999999999</v>
      </c>
      <c r="CH41" s="5">
        <v>0.57207300000000005</v>
      </c>
      <c r="CI41" s="5">
        <v>-0.35992299999999999</v>
      </c>
      <c r="CJ41" s="5"/>
      <c r="CK41" s="4" cm="1">
        <f t="array" ref="CK41:CO51">MMULT($AV$2:$BE$12,TRANSPOSE(BZ41:CI45))</f>
        <v>2.9517910603540001</v>
      </c>
      <c r="CL41" s="4">
        <v>2.0102005161640002</v>
      </c>
      <c r="CM41" s="4">
        <v>4.3142873499700007</v>
      </c>
      <c r="CN41" s="4">
        <v>-0.29039168137900018</v>
      </c>
      <c r="CO41" s="4">
        <v>-3.8693362713370001</v>
      </c>
      <c r="CQ41" s="4" cm="1">
        <f t="array" ref="CQ41:CU51">MMULT(CK28:CU38,_xlfn.ANCHORARRAY(CK41))</f>
        <v>-1.1393227877236272</v>
      </c>
      <c r="CR41" s="4">
        <v>0.29046382352294775</v>
      </c>
      <c r="CS41" s="4">
        <v>-1.1618875855495976</v>
      </c>
      <c r="CT41" s="4">
        <v>-2.2048157803864377</v>
      </c>
      <c r="CU41" s="4">
        <v>1.072223055291516</v>
      </c>
    </row>
    <row r="42" spans="1:143" ht="18" customHeight="1">
      <c r="A42" s="2">
        <f t="shared" si="14"/>
        <v>41</v>
      </c>
      <c r="B42" s="9" t="s">
        <v>910</v>
      </c>
      <c r="C42" s="9"/>
      <c r="D42" s="9"/>
      <c r="E42" s="9"/>
      <c r="F42" s="9"/>
      <c r="G42" s="9"/>
      <c r="I42" s="15" t="s">
        <v>63</v>
      </c>
      <c r="J42" s="15">
        <v>40</v>
      </c>
      <c r="K42" s="4">
        <v>-1.5671090000000001</v>
      </c>
      <c r="L42" s="4">
        <v>-0.695967</v>
      </c>
      <c r="M42" s="4">
        <v>-1.1226689999999999</v>
      </c>
      <c r="N42" s="4">
        <v>1.135062</v>
      </c>
      <c r="O42" s="4">
        <v>-0.99254699999999996</v>
      </c>
      <c r="P42" s="4">
        <v>-1.0301629999999999</v>
      </c>
      <c r="Q42" s="4">
        <v>-0.90520900000000004</v>
      </c>
      <c r="R42" s="4">
        <v>8.6083999999999994E-2</v>
      </c>
      <c r="S42" s="4">
        <v>1.4396000000000001E-2</v>
      </c>
      <c r="T42" s="4">
        <v>-1.5715E-2</v>
      </c>
      <c r="V42" s="19" t="s">
        <v>1243</v>
      </c>
      <c r="W42" s="21"/>
      <c r="X42" s="21"/>
      <c r="Y42" s="21"/>
      <c r="Z42" s="21"/>
      <c r="AA42" s="21"/>
      <c r="AB42" s="21"/>
      <c r="AC42" s="21"/>
      <c r="AD42" s="19" t="s">
        <v>1204</v>
      </c>
      <c r="AE42" s="19"/>
      <c r="AF42" s="21"/>
      <c r="AG42" s="19" t="s">
        <v>1204</v>
      </c>
      <c r="AH42" s="19"/>
      <c r="AI42" s="18"/>
      <c r="AJ42" s="23"/>
      <c r="AK42" s="16"/>
      <c r="AL42" s="16"/>
      <c r="AM42" s="16"/>
      <c r="AN42" s="16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H42" s="5">
        <v>8.8400000000000006E-2</v>
      </c>
      <c r="BI42" s="5">
        <v>-9.3345999999999998E-2</v>
      </c>
      <c r="BJ42" s="5">
        <v>0.34033200000000002</v>
      </c>
      <c r="BK42" s="5">
        <v>-0.13303699999999999</v>
      </c>
      <c r="BL42" s="5">
        <v>0.22173899999999999</v>
      </c>
      <c r="BM42" s="5">
        <v>-0.531393</v>
      </c>
      <c r="BN42" s="5">
        <v>0.24857099999999999</v>
      </c>
      <c r="BO42" s="5">
        <v>-0.203793</v>
      </c>
      <c r="BP42" s="5">
        <v>-0.24382300000000001</v>
      </c>
      <c r="BQ42" s="5">
        <v>0.16375700000000001</v>
      </c>
      <c r="BR42" s="5"/>
      <c r="BS42" s="4">
        <v>-0.70120179974499997</v>
      </c>
      <c r="BT42" s="4">
        <v>0.75472685187799982</v>
      </c>
      <c r="BU42" s="4">
        <v>0.21004731359499984</v>
      </c>
      <c r="BV42" s="4">
        <v>-0.14984482238699984</v>
      </c>
      <c r="BW42" s="4">
        <v>0.23567395887499989</v>
      </c>
      <c r="BX42" s="4"/>
      <c r="BZ42" s="5">
        <v>0.39837</v>
      </c>
      <c r="CA42" s="5">
        <v>-0.27755299999999999</v>
      </c>
      <c r="CB42" s="5">
        <v>-9.8487000000000005E-2</v>
      </c>
      <c r="CC42" s="5">
        <v>0.38822000000000001</v>
      </c>
      <c r="CD42" s="5">
        <v>0.242946</v>
      </c>
      <c r="CE42" s="5">
        <v>-6.9990999999999998E-2</v>
      </c>
      <c r="CF42" s="5">
        <v>0.20884</v>
      </c>
      <c r="CG42" s="5">
        <v>-0.78997700000000004</v>
      </c>
      <c r="CH42" s="5">
        <v>-0.134244</v>
      </c>
      <c r="CI42" s="5">
        <v>0.21055599999999999</v>
      </c>
      <c r="CJ42" s="5"/>
      <c r="CK42" s="4">
        <v>-1.3150810324689992</v>
      </c>
      <c r="CL42" s="4">
        <v>2.864804569106</v>
      </c>
      <c r="CM42" s="4">
        <v>2.2965156957520003</v>
      </c>
      <c r="CN42" s="4">
        <v>-1.4356307354600002</v>
      </c>
      <c r="CO42" s="4">
        <v>-1.401625979291</v>
      </c>
      <c r="CQ42" s="4">
        <v>-1.0468966135564017</v>
      </c>
      <c r="CR42" s="4">
        <v>0.30817788908749</v>
      </c>
      <c r="CS42" s="4">
        <v>-1.0580168114304862</v>
      </c>
      <c r="CT42" s="4">
        <v>-2.1411070432253867</v>
      </c>
      <c r="CU42" s="4">
        <v>1.1664261606777904</v>
      </c>
      <c r="EF42" s="2" t="s">
        <v>11</v>
      </c>
    </row>
    <row r="43" spans="1:143" ht="18" customHeight="1">
      <c r="A43" s="2">
        <f t="shared" si="14"/>
        <v>42</v>
      </c>
      <c r="B43" s="9" t="s">
        <v>911</v>
      </c>
      <c r="C43" s="9"/>
      <c r="D43" s="9"/>
      <c r="E43" s="9"/>
      <c r="F43" s="9"/>
      <c r="G43" s="9"/>
      <c r="I43" s="15" t="s">
        <v>64</v>
      </c>
      <c r="J43" s="15">
        <v>41</v>
      </c>
      <c r="K43" s="4">
        <v>-0.13433400000000001</v>
      </c>
      <c r="L43" s="4">
        <v>0.25819599999999998</v>
      </c>
      <c r="M43" s="4">
        <v>0.20141800000000001</v>
      </c>
      <c r="N43" s="4">
        <v>1.1640060000000001</v>
      </c>
      <c r="O43" s="4">
        <v>0.19365099999999999</v>
      </c>
      <c r="P43" s="4">
        <v>1.1964090000000001</v>
      </c>
      <c r="Q43" s="4">
        <v>-0.90383199999999997</v>
      </c>
      <c r="R43" s="4">
        <v>-1.011892</v>
      </c>
      <c r="S43" s="4">
        <v>0.173514</v>
      </c>
      <c r="T43" s="4">
        <v>0.91005400000000003</v>
      </c>
      <c r="V43" s="19" t="s">
        <v>1216</v>
      </c>
      <c r="W43" s="21"/>
      <c r="X43" s="21"/>
      <c r="Y43" s="21"/>
      <c r="Z43" s="21"/>
      <c r="AA43" s="21"/>
      <c r="AB43" s="21"/>
      <c r="AC43" s="21"/>
      <c r="AD43" s="19" t="s">
        <v>1206</v>
      </c>
      <c r="AE43" s="19"/>
      <c r="AF43" s="21"/>
      <c r="AG43" s="19" t="s">
        <v>1206</v>
      </c>
      <c r="AH43" s="19"/>
      <c r="AI43" s="18"/>
      <c r="AJ43" s="23"/>
      <c r="AK43" s="16"/>
      <c r="AL43" s="16"/>
      <c r="AM43" s="16"/>
      <c r="AN43" s="16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H43" s="5">
        <v>0.14596500000000001</v>
      </c>
      <c r="BI43" s="5">
        <v>-1.2614999999999999E-2</v>
      </c>
      <c r="BJ43" s="5">
        <v>0.16069</v>
      </c>
      <c r="BK43" s="5">
        <v>-2.4143000000000001E-2</v>
      </c>
      <c r="BL43" s="5">
        <v>-0.197793</v>
      </c>
      <c r="BM43" s="5">
        <v>-0.45588699999999999</v>
      </c>
      <c r="BN43" s="5">
        <v>0.34492</v>
      </c>
      <c r="BO43" s="5">
        <v>0.35573300000000002</v>
      </c>
      <c r="BP43" s="5">
        <v>-0.40815699999999999</v>
      </c>
      <c r="BQ43" s="5">
        <v>-0.29389599999999999</v>
      </c>
      <c r="BR43" s="5"/>
      <c r="BS43" s="4">
        <v>-0.56002901326599996</v>
      </c>
      <c r="BT43" s="4">
        <v>1.1717889391</v>
      </c>
      <c r="BU43" s="4">
        <v>1.4739034868080001</v>
      </c>
      <c r="BV43" s="4">
        <v>-0.907621202154</v>
      </c>
      <c r="BW43" s="4">
        <v>9.9904114646000131E-2</v>
      </c>
      <c r="BX43" s="4"/>
      <c r="BZ43" s="5">
        <v>-5.4689000000000002E-2</v>
      </c>
      <c r="CA43" s="5">
        <v>-0.55118199999999995</v>
      </c>
      <c r="CB43" s="5">
        <v>-0.45704</v>
      </c>
      <c r="CC43" s="5">
        <v>2.4929E-2</v>
      </c>
      <c r="CD43" s="5">
        <v>0.142041</v>
      </c>
      <c r="CE43" s="5">
        <v>0.245778</v>
      </c>
      <c r="CF43" s="5">
        <v>-0.34780699999999998</v>
      </c>
      <c r="CG43" s="5">
        <v>-0.65899099999999999</v>
      </c>
      <c r="CH43" s="5">
        <v>0.71582900000000005</v>
      </c>
      <c r="CI43" s="5">
        <v>-0.135049</v>
      </c>
      <c r="CJ43" s="5"/>
      <c r="CK43" s="4">
        <v>-0.27823317276200016</v>
      </c>
      <c r="CL43" s="4">
        <v>0.68842459301299996</v>
      </c>
      <c r="CM43" s="4">
        <v>6.427023168099974E-2</v>
      </c>
      <c r="CN43" s="4">
        <v>-1.4697234616960004</v>
      </c>
      <c r="CO43" s="4">
        <v>1.5677986148730003</v>
      </c>
      <c r="CQ43" s="4">
        <v>0.88186763154969294</v>
      </c>
      <c r="CR43" s="4">
        <v>-9.8167606220454007E-2</v>
      </c>
      <c r="CS43" s="4">
        <v>0.63841749335789588</v>
      </c>
      <c r="CT43" s="4">
        <v>-8.2044628754710774E-2</v>
      </c>
      <c r="CU43" s="4">
        <v>0.37455943870506614</v>
      </c>
      <c r="EF43" s="4" cm="1">
        <f t="array" ref="EF43">EXP(EF$40)/SUM(EXP($EF$40:$EM$40))</f>
        <v>2.5149673705285129E-4</v>
      </c>
      <c r="EG43" s="4" cm="1">
        <f t="array" ref="EG43">EXP(EG$40)/SUM(EXP($EF$40:$EM$40))</f>
        <v>0.9486200888312023</v>
      </c>
      <c r="EH43" s="4" cm="1">
        <f t="array" ref="EH43">EXP(EH$40)/SUM(EXP($EF$40:$EM$40))</f>
        <v>2.1963581369639808E-4</v>
      </c>
      <c r="EI43" s="4" cm="1">
        <f t="array" ref="EI43">EXP(EI$40)/SUM(EXP($EF$40:$EM$40))</f>
        <v>2.4709894972415874E-6</v>
      </c>
      <c r="EJ43" s="4" cm="1">
        <f t="array" ref="EJ43">EXP(EJ$40)/SUM(EXP($EF$40:$EM$40))</f>
        <v>2.8728601563116584E-2</v>
      </c>
      <c r="EK43" s="4" cm="1">
        <f t="array" ref="EK43">EXP(EK$40)/SUM(EXP($EF$40:$EM$40))</f>
        <v>1.9800293092558711E-2</v>
      </c>
      <c r="EL43" s="4" cm="1">
        <f t="array" ref="EL43">EXP(EL$40)/SUM(EXP($EF$40:$EM$40))</f>
        <v>3.9196269963768463E-9</v>
      </c>
      <c r="EM43" s="4" cm="1">
        <f t="array" ref="EM43">EXP(EM$40)/SUM(EXP($EF$40:$EM$40))</f>
        <v>2.3774090532490103E-3</v>
      </c>
    </row>
    <row r="44" spans="1:143" ht="18" customHeight="1">
      <c r="A44" s="2">
        <f t="shared" si="14"/>
        <v>43</v>
      </c>
      <c r="B44" s="9" t="s">
        <v>912</v>
      </c>
      <c r="C44" s="9"/>
      <c r="D44" s="9"/>
      <c r="E44" s="9"/>
      <c r="F44" s="9"/>
      <c r="G44" s="9"/>
      <c r="I44" s="15" t="s">
        <v>65</v>
      </c>
      <c r="J44" s="15">
        <v>42</v>
      </c>
      <c r="K44" s="4">
        <v>-3.7124999999999998E-2</v>
      </c>
      <c r="L44" s="4">
        <v>-1.241711</v>
      </c>
      <c r="M44" s="4">
        <v>1.8100149999999999</v>
      </c>
      <c r="N44" s="4">
        <v>0.74511099999999997</v>
      </c>
      <c r="O44" s="4">
        <v>0.74813300000000005</v>
      </c>
      <c r="P44" s="4">
        <v>-0.60194899999999996</v>
      </c>
      <c r="Q44" s="4">
        <v>2.1312790000000001</v>
      </c>
      <c r="R44" s="4">
        <v>-1.0921320000000001</v>
      </c>
      <c r="S44" s="4">
        <v>0.62075199999999997</v>
      </c>
      <c r="T44" s="4">
        <v>1.020135</v>
      </c>
      <c r="V44" s="19" t="s">
        <v>1249</v>
      </c>
      <c r="W44" s="21"/>
      <c r="X44" s="21"/>
      <c r="Y44" s="21"/>
      <c r="Z44" s="21"/>
      <c r="AA44" s="21"/>
      <c r="AB44" s="21"/>
      <c r="AC44" s="21"/>
      <c r="AD44" s="19" t="s">
        <v>1204</v>
      </c>
      <c r="AE44" s="19"/>
      <c r="AF44" s="21"/>
      <c r="AG44" s="19" t="s">
        <v>1204</v>
      </c>
      <c r="AH44" s="19"/>
      <c r="AI44" s="18"/>
      <c r="AJ44" s="23"/>
      <c r="AK44" s="16"/>
      <c r="AL44" s="16"/>
      <c r="AM44" s="16"/>
      <c r="AN44" s="16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H44" s="5">
        <v>-0.38627600000000001</v>
      </c>
      <c r="BI44" s="5">
        <v>-6.2236E-2</v>
      </c>
      <c r="BJ44" s="5">
        <v>-0.21132400000000001</v>
      </c>
      <c r="BK44" s="5">
        <v>-3.6219000000000001E-2</v>
      </c>
      <c r="BL44" s="5">
        <v>0.30939</v>
      </c>
      <c r="BM44" s="5">
        <v>0.11382399999999999</v>
      </c>
      <c r="BN44" s="5">
        <v>-0.18691199999999999</v>
      </c>
      <c r="BO44" s="5">
        <v>-0.16588</v>
      </c>
      <c r="BP44" s="5">
        <v>0.51437200000000005</v>
      </c>
      <c r="BQ44" s="5">
        <v>-8.7729999999999995E-3</v>
      </c>
      <c r="BR44" s="5"/>
      <c r="BS44" s="4">
        <v>-5.764954144499998E-2</v>
      </c>
      <c r="BT44" s="4">
        <v>0.71865196676900012</v>
      </c>
      <c r="BU44" s="4">
        <v>-0.39528273521799984</v>
      </c>
      <c r="BV44" s="4">
        <v>0.22579075812499988</v>
      </c>
      <c r="BW44" s="4">
        <v>-0.59724353564499988</v>
      </c>
      <c r="BX44" s="4"/>
      <c r="BZ44" s="5">
        <v>-0.62471500000000002</v>
      </c>
      <c r="CA44" s="5">
        <v>0.62495400000000001</v>
      </c>
      <c r="CB44" s="5">
        <v>-0.13425999999999999</v>
      </c>
      <c r="CC44" s="5">
        <v>-0.25712699999999999</v>
      </c>
      <c r="CD44" s="5">
        <v>-0.27881499999999998</v>
      </c>
      <c r="CE44" s="5">
        <v>0.39822299999999999</v>
      </c>
      <c r="CF44" s="5">
        <v>0.112821</v>
      </c>
      <c r="CG44" s="5">
        <v>0.17940600000000001</v>
      </c>
      <c r="CH44" s="5">
        <v>0.24463699999999999</v>
      </c>
      <c r="CI44" s="5">
        <v>-0.10752100000000001</v>
      </c>
      <c r="CJ44" s="5"/>
      <c r="CK44" s="4">
        <v>-0.79771473202499998</v>
      </c>
      <c r="CL44" s="4">
        <v>1.152537374023</v>
      </c>
      <c r="CM44" s="4">
        <v>-0.47536635290100016</v>
      </c>
      <c r="CN44" s="4">
        <v>-1.6655567679710002</v>
      </c>
      <c r="CO44" s="4">
        <v>-1.0728291851609995</v>
      </c>
      <c r="CQ44" s="4">
        <v>3.9198791130058619</v>
      </c>
      <c r="CR44" s="4">
        <v>-0.95832180111573018</v>
      </c>
      <c r="CS44" s="4">
        <v>2.8946790820950961</v>
      </c>
      <c r="CT44" s="4">
        <v>2.0821896640815041</v>
      </c>
      <c r="CU44" s="4">
        <v>-1.6664956784125502</v>
      </c>
    </row>
    <row r="45" spans="1:143" ht="18" customHeight="1">
      <c r="A45" s="2">
        <f t="shared" si="14"/>
        <v>44</v>
      </c>
      <c r="B45" s="9" t="s">
        <v>913</v>
      </c>
      <c r="C45" s="9"/>
      <c r="D45" s="9"/>
      <c r="E45" s="9"/>
      <c r="F45" s="9"/>
      <c r="G45" s="9"/>
      <c r="I45" s="15" t="s">
        <v>66</v>
      </c>
      <c r="J45" s="15">
        <v>43</v>
      </c>
      <c r="K45" s="4">
        <v>-0.27176899999999998</v>
      </c>
      <c r="L45" s="4">
        <v>0.438195</v>
      </c>
      <c r="M45" s="4">
        <v>-0.89317599999999997</v>
      </c>
      <c r="N45" s="4">
        <v>2.5561959999999999</v>
      </c>
      <c r="O45" s="4">
        <v>0.32532</v>
      </c>
      <c r="P45" s="4">
        <v>1.0141640000000001</v>
      </c>
      <c r="Q45" s="4">
        <v>2.9638979999999999</v>
      </c>
      <c r="R45" s="4">
        <v>-0.60504400000000003</v>
      </c>
      <c r="S45" s="4">
        <v>-1.5698160000000001</v>
      </c>
      <c r="T45" s="4">
        <v>1.292259</v>
      </c>
      <c r="V45" s="19" t="s">
        <v>1250</v>
      </c>
      <c r="W45" s="21"/>
      <c r="X45" s="21"/>
      <c r="Y45" s="21"/>
      <c r="Z45" s="21"/>
      <c r="AA45" s="21"/>
      <c r="AB45" s="21"/>
      <c r="AC45" s="21"/>
      <c r="AD45" s="19" t="s">
        <v>1204</v>
      </c>
      <c r="AE45" s="19"/>
      <c r="AF45" s="21"/>
      <c r="AG45" s="19" t="s">
        <v>1207</v>
      </c>
      <c r="AH45" s="19"/>
      <c r="AI45" s="18"/>
      <c r="AJ45" s="23" t="s">
        <v>1214</v>
      </c>
      <c r="AK45" s="16"/>
      <c r="AL45" s="16"/>
      <c r="AM45" s="16"/>
      <c r="AN45" s="16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H45" s="5">
        <v>0.38727600000000001</v>
      </c>
      <c r="BI45" s="5">
        <v>0.377994</v>
      </c>
      <c r="BJ45" s="5">
        <v>-0.10494199999999999</v>
      </c>
      <c r="BK45" s="5">
        <v>3.2974999999999997E-2</v>
      </c>
      <c r="BL45" s="5">
        <v>-3.7365000000000002E-2</v>
      </c>
      <c r="BM45" s="5">
        <v>-0.40390100000000001</v>
      </c>
      <c r="BN45" s="5">
        <v>0.10834100000000001</v>
      </c>
      <c r="BO45" s="5">
        <v>-0.147789</v>
      </c>
      <c r="BP45" s="5">
        <v>-0.367703</v>
      </c>
      <c r="BQ45" s="5">
        <v>0.244114</v>
      </c>
      <c r="BR45" s="5"/>
      <c r="BS45" s="4">
        <v>1.8432119696389999</v>
      </c>
      <c r="BT45" s="4">
        <v>1.0585689227990001</v>
      </c>
      <c r="BU45" s="4">
        <v>0.76712464026299987</v>
      </c>
      <c r="BV45" s="4">
        <v>-0.83043559719699978</v>
      </c>
      <c r="BW45" s="4">
        <v>0.93035069704200013</v>
      </c>
      <c r="BX45" s="4"/>
      <c r="BZ45" s="5">
        <v>8.0264000000000002E-2</v>
      </c>
      <c r="CA45" s="5">
        <v>-0.198715</v>
      </c>
      <c r="CB45" s="5">
        <v>0.71134200000000003</v>
      </c>
      <c r="CC45" s="5">
        <v>-0.76114199999999999</v>
      </c>
      <c r="CD45" s="5">
        <v>-0.36105999999999999</v>
      </c>
      <c r="CE45" s="5">
        <v>1.4583E-2</v>
      </c>
      <c r="CF45" s="5">
        <v>-0.116981</v>
      </c>
      <c r="CG45" s="5">
        <v>0.67061000000000004</v>
      </c>
      <c r="CH45" s="5">
        <v>8.0366999999999994E-2</v>
      </c>
      <c r="CI45" s="5">
        <v>-0.33909400000000001</v>
      </c>
      <c r="CJ45" s="5"/>
      <c r="CK45" s="4">
        <v>-1.5680588674710001</v>
      </c>
      <c r="CL45" s="4">
        <v>0.31301089063299992</v>
      </c>
      <c r="CM45" s="4">
        <v>-1.607875334901</v>
      </c>
      <c r="CN45" s="4">
        <v>-2.6206603414699998</v>
      </c>
      <c r="CO45" s="4">
        <v>0.742049287439</v>
      </c>
      <c r="CQ45" s="4">
        <v>2.5914774658048931</v>
      </c>
      <c r="CR45" s="4">
        <v>-1.2143713553302141E-2</v>
      </c>
      <c r="CS45" s="4">
        <v>2.3515237018149699</v>
      </c>
      <c r="CT45" s="4">
        <v>0.98979883791614731</v>
      </c>
      <c r="CU45" s="4">
        <v>-1.6316759500613975</v>
      </c>
      <c r="EF45" s="2" t="s">
        <v>1201</v>
      </c>
    </row>
    <row r="46" spans="1:143" ht="18" customHeight="1">
      <c r="A46" s="2">
        <f t="shared" si="14"/>
        <v>45</v>
      </c>
      <c r="B46" s="9" t="s">
        <v>914</v>
      </c>
      <c r="C46" s="9"/>
      <c r="D46" s="9"/>
      <c r="E46" s="9"/>
      <c r="F46" s="9"/>
      <c r="G46" s="9"/>
      <c r="I46" s="15" t="s">
        <v>67</v>
      </c>
      <c r="J46" s="15">
        <v>44</v>
      </c>
      <c r="K46" s="4">
        <v>-0.54835599999999995</v>
      </c>
      <c r="L46" s="4">
        <v>1.124568</v>
      </c>
      <c r="M46" s="4">
        <v>0.470219</v>
      </c>
      <c r="N46" s="4">
        <v>0.83517600000000003</v>
      </c>
      <c r="O46" s="4">
        <v>0.133882</v>
      </c>
      <c r="P46" s="4">
        <v>0.69287799999999999</v>
      </c>
      <c r="Q46" s="4">
        <v>-0.391239</v>
      </c>
      <c r="R46" s="4">
        <v>0.52141499999999996</v>
      </c>
      <c r="S46" s="4">
        <v>-2.3706000000000001E-2</v>
      </c>
      <c r="T46" s="4">
        <v>1.4320470000000001</v>
      </c>
      <c r="V46" s="19" t="s">
        <v>1237</v>
      </c>
      <c r="W46" s="21"/>
      <c r="X46" s="21"/>
      <c r="Y46" s="21"/>
      <c r="Z46" s="21"/>
      <c r="AA46" s="21"/>
      <c r="AB46" s="21"/>
      <c r="AC46" s="21"/>
      <c r="AD46" s="19" t="s">
        <v>1204</v>
      </c>
      <c r="AE46" s="19"/>
      <c r="AF46" s="21"/>
      <c r="AG46" s="19" t="s">
        <v>1204</v>
      </c>
      <c r="AH46" s="19"/>
      <c r="AI46" s="18"/>
      <c r="AJ46" s="23"/>
      <c r="AK46" s="16"/>
      <c r="AL46" s="16"/>
      <c r="AM46" s="16"/>
      <c r="AN46" s="16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4">
        <v>1.1059109246079997</v>
      </c>
      <c r="BT46" s="4">
        <v>-0.4778793909209999</v>
      </c>
      <c r="BU46" s="4">
        <v>0.1779492937469998</v>
      </c>
      <c r="BV46" s="4">
        <v>-0.33568495794700015</v>
      </c>
      <c r="BW46" s="4">
        <v>-1.4686019859919999</v>
      </c>
      <c r="BX46" s="4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4">
        <v>1.9081597303700004</v>
      </c>
      <c r="CL46" s="4">
        <v>-3.7633862485739997</v>
      </c>
      <c r="CM46" s="4">
        <v>-0.9884059121859996</v>
      </c>
      <c r="CN46" s="4">
        <v>0.6160551002879997</v>
      </c>
      <c r="CO46" s="4">
        <v>6.7824240053040024</v>
      </c>
      <c r="CQ46" s="4">
        <v>3.8061753128195637</v>
      </c>
      <c r="CR46" s="4">
        <v>-0.16011489533970147</v>
      </c>
      <c r="CS46" s="4">
        <v>3.4241426484644206</v>
      </c>
      <c r="CT46" s="4">
        <v>1.5015429407000915</v>
      </c>
      <c r="CU46" s="4">
        <v>-2.372875708574242</v>
      </c>
      <c r="EF46" s="25" cm="1">
        <f t="array" ref="EF46">PyTorchMultinomial(EF43:EM43,1)</f>
        <v>1</v>
      </c>
      <c r="EG46" s="25"/>
    </row>
    <row r="47" spans="1:143" ht="18" customHeight="1">
      <c r="A47" s="2">
        <f t="shared" si="14"/>
        <v>46</v>
      </c>
      <c r="B47" s="9" t="s">
        <v>915</v>
      </c>
      <c r="C47" s="9"/>
      <c r="D47" s="9"/>
      <c r="E47" s="9"/>
      <c r="F47" s="9"/>
      <c r="G47" s="9"/>
      <c r="I47" s="15" t="s">
        <v>68</v>
      </c>
      <c r="J47" s="15">
        <v>45</v>
      </c>
      <c r="K47" s="4">
        <v>-0.89840900000000001</v>
      </c>
      <c r="L47" s="4">
        <v>-1.645859</v>
      </c>
      <c r="M47" s="4">
        <v>-0.73918200000000001</v>
      </c>
      <c r="N47" s="4">
        <v>-3.1691470000000002</v>
      </c>
      <c r="O47" s="4">
        <v>-1.013776</v>
      </c>
      <c r="P47" s="4">
        <v>-0.18892400000000001</v>
      </c>
      <c r="Q47" s="4">
        <v>0.15965699999999999</v>
      </c>
      <c r="R47" s="4">
        <v>0.642486</v>
      </c>
      <c r="S47" s="4">
        <v>0.82212200000000002</v>
      </c>
      <c r="T47" s="4">
        <v>-0.93911100000000003</v>
      </c>
      <c r="V47" s="19" t="s">
        <v>1251</v>
      </c>
      <c r="W47" s="21"/>
      <c r="X47" s="21"/>
      <c r="Y47" s="21"/>
      <c r="Z47" s="21"/>
      <c r="AA47" s="21"/>
      <c r="AB47" s="21"/>
      <c r="AC47" s="21"/>
      <c r="AD47" s="19" t="s">
        <v>1208</v>
      </c>
      <c r="AE47" s="19"/>
      <c r="AF47" s="21"/>
      <c r="AG47" s="19" t="s">
        <v>1208</v>
      </c>
      <c r="AH47" s="19"/>
      <c r="AI47" s="18"/>
      <c r="AJ47" s="23"/>
      <c r="AK47" s="16"/>
      <c r="AL47" s="16"/>
      <c r="AM47" s="16"/>
      <c r="AN47" s="16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4">
        <v>-0.65270771589600018</v>
      </c>
      <c r="BT47" s="4">
        <v>0.85485982072499966</v>
      </c>
      <c r="BU47" s="4">
        <v>0.1777196268450002</v>
      </c>
      <c r="BV47" s="4">
        <v>1.3041403056300003</v>
      </c>
      <c r="BW47" s="4">
        <v>-0.27568919070600006</v>
      </c>
      <c r="BX47" s="4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4">
        <v>0.27344921995400007</v>
      </c>
      <c r="CL47" s="4">
        <v>-1.216284755977</v>
      </c>
      <c r="CM47" s="4">
        <v>-0.73731590411799974</v>
      </c>
      <c r="CN47" s="4">
        <v>1.602076437717</v>
      </c>
      <c r="CO47" s="4">
        <v>1.2199488197920001</v>
      </c>
      <c r="CQ47" s="4">
        <v>0.96579442854062192</v>
      </c>
      <c r="CR47" s="4">
        <v>-0.50943984819790011</v>
      </c>
      <c r="CS47" s="4">
        <v>0.36734826407299415</v>
      </c>
      <c r="CT47" s="4">
        <v>0.19915520277502102</v>
      </c>
      <c r="CU47" s="4">
        <v>0.5006557068531402</v>
      </c>
    </row>
    <row r="48" spans="1:143" ht="18" customHeight="1">
      <c r="A48" s="2">
        <f t="shared" si="14"/>
        <v>47</v>
      </c>
      <c r="B48" s="9" t="s">
        <v>916</v>
      </c>
      <c r="C48" s="9"/>
      <c r="D48" s="9"/>
      <c r="E48" s="9"/>
      <c r="F48" s="9"/>
      <c r="G48" s="9"/>
      <c r="I48" s="15" t="s">
        <v>69</v>
      </c>
      <c r="J48" s="15">
        <v>46</v>
      </c>
      <c r="K48" s="4">
        <v>-0.59131</v>
      </c>
      <c r="L48" s="4">
        <v>-2.3946960000000002</v>
      </c>
      <c r="M48" s="4">
        <v>-1.1750160000000001</v>
      </c>
      <c r="N48" s="4">
        <v>0.28497099999999997</v>
      </c>
      <c r="O48" s="4">
        <v>-0.114257</v>
      </c>
      <c r="P48" s="4">
        <v>-0.28564200000000001</v>
      </c>
      <c r="Q48" s="4">
        <v>1.565464</v>
      </c>
      <c r="R48" s="4">
        <v>1.1384559999999999</v>
      </c>
      <c r="S48" s="4">
        <v>-0.61337399999999997</v>
      </c>
      <c r="T48" s="4">
        <v>-0.15787000000000001</v>
      </c>
      <c r="V48" s="19" t="s">
        <v>1230</v>
      </c>
      <c r="W48" s="21"/>
      <c r="X48" s="21"/>
      <c r="Y48" s="21"/>
      <c r="Z48" s="21"/>
      <c r="AA48" s="21"/>
      <c r="AB48" s="21"/>
      <c r="AC48" s="21"/>
      <c r="AD48" s="19" t="s">
        <v>1204</v>
      </c>
      <c r="AE48" s="19"/>
      <c r="AF48" s="21"/>
      <c r="AG48" s="19" t="s">
        <v>1204</v>
      </c>
      <c r="AH48" s="19"/>
      <c r="AI48" s="18"/>
      <c r="AJ48" s="23"/>
      <c r="AK48" s="16"/>
      <c r="AL48" s="16"/>
      <c r="AM48" s="16"/>
      <c r="AN48" s="16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4">
        <v>-1.3251038423199999</v>
      </c>
      <c r="BT48" s="4">
        <v>-0.50724641686200012</v>
      </c>
      <c r="BU48" s="4">
        <v>3.819843769799991E-2</v>
      </c>
      <c r="BV48" s="4">
        <v>0.714477838862</v>
      </c>
      <c r="BW48" s="4">
        <v>-0.65887651573199979</v>
      </c>
      <c r="BX48" s="4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4">
        <v>0.98577650545400008</v>
      </c>
      <c r="CL48" s="4">
        <v>-0.43607084547699965</v>
      </c>
      <c r="CM48" s="4">
        <v>0.42731442648200013</v>
      </c>
      <c r="CN48" s="4">
        <v>2.0474610820599999</v>
      </c>
      <c r="CO48" s="4">
        <v>-0.84809602883900015</v>
      </c>
      <c r="CQ48" s="4">
        <v>-0.18624300653810097</v>
      </c>
      <c r="CR48" s="4">
        <v>-0.25591756334606042</v>
      </c>
      <c r="CS48" s="4">
        <v>-0.69243245689145294</v>
      </c>
      <c r="CT48" s="4">
        <v>-1.1160276840824364</v>
      </c>
      <c r="CU48" s="4">
        <v>1.5747743015753368</v>
      </c>
    </row>
    <row r="49" spans="1:99" ht="18" customHeight="1">
      <c r="A49" s="2">
        <f t="shared" si="14"/>
        <v>48</v>
      </c>
      <c r="B49" s="9" t="s">
        <v>917</v>
      </c>
      <c r="C49" s="9"/>
      <c r="D49" s="9"/>
      <c r="E49" s="9"/>
      <c r="F49" s="9"/>
      <c r="G49" s="9"/>
      <c r="I49" s="15" t="s">
        <v>70</v>
      </c>
      <c r="J49" s="15">
        <v>47</v>
      </c>
      <c r="K49" s="4">
        <v>-0.31530799999999998</v>
      </c>
      <c r="L49" s="4">
        <v>-0.84976200000000002</v>
      </c>
      <c r="M49" s="4">
        <v>1.265471</v>
      </c>
      <c r="N49" s="4">
        <v>-0.94101199999999996</v>
      </c>
      <c r="O49" s="4">
        <v>-0.73272300000000001</v>
      </c>
      <c r="P49" s="4">
        <v>-0.94920199999999999</v>
      </c>
      <c r="Q49" s="4">
        <v>-1.0626059999999999</v>
      </c>
      <c r="R49" s="4">
        <v>1.7100379999999999</v>
      </c>
      <c r="S49" s="4">
        <v>0.18353900000000001</v>
      </c>
      <c r="T49" s="4">
        <v>1.0308470000000001</v>
      </c>
      <c r="V49" s="19" t="s">
        <v>1243</v>
      </c>
      <c r="W49" s="19"/>
      <c r="X49" s="19"/>
      <c r="Y49" s="19"/>
      <c r="Z49" s="19"/>
      <c r="AA49" s="19"/>
      <c r="AB49" s="19"/>
      <c r="AC49" s="19"/>
      <c r="AD49" s="19" t="s">
        <v>1204</v>
      </c>
      <c r="AE49" s="19"/>
      <c r="AF49" s="19"/>
      <c r="AG49" s="19" t="s">
        <v>1204</v>
      </c>
      <c r="AH49" s="19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4">
        <v>-0.79473867834000012</v>
      </c>
      <c r="BT49" s="4">
        <v>0.34777082489699995</v>
      </c>
      <c r="BU49" s="4">
        <v>-1.0104010660210001</v>
      </c>
      <c r="BV49" s="4">
        <v>0.73250993345400028</v>
      </c>
      <c r="BW49" s="4">
        <v>-0.70377498505100022</v>
      </c>
      <c r="BX49" s="4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4">
        <v>0.33421906988899996</v>
      </c>
      <c r="CL49" s="4">
        <v>1.2224590363980001</v>
      </c>
      <c r="CM49" s="4">
        <v>0.93538293436399989</v>
      </c>
      <c r="CN49" s="4">
        <v>-0.34925669230399975</v>
      </c>
      <c r="CO49" s="4">
        <v>-2.0250950660220002</v>
      </c>
      <c r="CQ49" s="4">
        <v>2.7554693502623326</v>
      </c>
      <c r="CR49" s="4">
        <v>-0.43455737080499657</v>
      </c>
      <c r="CS49" s="4">
        <v>2.1288339090563482</v>
      </c>
      <c r="CT49" s="4">
        <v>1.1642059743490072</v>
      </c>
      <c r="CU49" s="4">
        <v>-1.1647085145539351</v>
      </c>
    </row>
    <row r="50" spans="1:99" ht="18" customHeight="1">
      <c r="A50" s="2">
        <f t="shared" si="14"/>
        <v>49</v>
      </c>
      <c r="B50" s="9" t="s">
        <v>918</v>
      </c>
      <c r="C50" s="9"/>
      <c r="D50" s="9"/>
      <c r="E50" s="9"/>
      <c r="F50" s="9"/>
      <c r="G50" s="9"/>
      <c r="I50" s="15" t="s">
        <v>71</v>
      </c>
      <c r="J50" s="15">
        <v>48</v>
      </c>
      <c r="K50" s="4">
        <v>-0.162968</v>
      </c>
      <c r="L50" s="4">
        <v>0.296566</v>
      </c>
      <c r="M50" s="4">
        <v>1.414784</v>
      </c>
      <c r="N50" s="4">
        <v>-1.185219</v>
      </c>
      <c r="O50" s="4">
        <v>0.79749999999999999</v>
      </c>
      <c r="P50" s="4">
        <v>0.58416999999999997</v>
      </c>
      <c r="Q50" s="4">
        <v>0.35343200000000002</v>
      </c>
      <c r="R50" s="4">
        <v>0.14088000000000001</v>
      </c>
      <c r="S50" s="4">
        <v>1.397108</v>
      </c>
      <c r="T50" s="4">
        <v>-0.74395100000000003</v>
      </c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4">
        <v>-1.4457624241770002</v>
      </c>
      <c r="BT50" s="4">
        <v>-1.9970149811740001</v>
      </c>
      <c r="BU50" s="4">
        <v>-1.083131466088</v>
      </c>
      <c r="BV50" s="4">
        <v>2.582030443491</v>
      </c>
      <c r="BW50" s="4">
        <v>-2.3475164146009999</v>
      </c>
      <c r="BX50" s="4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4">
        <v>4.5148491334630005</v>
      </c>
      <c r="CL50" s="4">
        <v>-1.7837332123409997</v>
      </c>
      <c r="CM50" s="4">
        <v>2.8275881895720003</v>
      </c>
      <c r="CN50" s="4">
        <v>2.8518461751979998</v>
      </c>
      <c r="CO50" s="4">
        <v>-1.2906746335770003</v>
      </c>
      <c r="CQ50" s="4">
        <v>-0.86516946540959516</v>
      </c>
      <c r="CR50" s="4">
        <v>0.24400497554878514</v>
      </c>
      <c r="CS50" s="4">
        <v>-0.93070758987823698</v>
      </c>
      <c r="CT50" s="4">
        <v>-1.8542069736559748</v>
      </c>
      <c r="CU50" s="4">
        <v>1.1351669842970191</v>
      </c>
    </row>
    <row r="51" spans="1:99" ht="18" customHeight="1">
      <c r="A51" s="2">
        <f t="shared" si="14"/>
        <v>50</v>
      </c>
      <c r="B51" s="9" t="s">
        <v>919</v>
      </c>
      <c r="C51" s="9"/>
      <c r="D51" s="9"/>
      <c r="E51" s="9"/>
      <c r="F51" s="9"/>
      <c r="G51" s="9"/>
      <c r="I51" s="15" t="s">
        <v>72</v>
      </c>
      <c r="J51" s="15">
        <v>49</v>
      </c>
      <c r="K51" s="4">
        <v>0.82106199999999996</v>
      </c>
      <c r="L51" s="4">
        <v>-1.3337220000000001</v>
      </c>
      <c r="M51" s="4">
        <v>-0.43020199999999997</v>
      </c>
      <c r="N51" s="4">
        <v>0.93163300000000004</v>
      </c>
      <c r="O51" s="4">
        <v>3.1420999999999998E-2</v>
      </c>
      <c r="P51" s="4">
        <v>-0.78232100000000004</v>
      </c>
      <c r="Q51" s="4">
        <v>0.69811500000000004</v>
      </c>
      <c r="R51" s="4">
        <v>-0.95098199999999999</v>
      </c>
      <c r="S51" s="4">
        <v>4.1815999999999999E-2</v>
      </c>
      <c r="T51" s="4">
        <v>-0.56007700000000005</v>
      </c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4">
        <v>0.9931244743890002</v>
      </c>
      <c r="BT51" s="4">
        <v>1.6775989220070002</v>
      </c>
      <c r="BU51" s="4">
        <v>-0.4148518492069998</v>
      </c>
      <c r="BV51" s="4">
        <v>-0.24836914748300015</v>
      </c>
      <c r="BW51" s="4">
        <v>-1.4398700888029996</v>
      </c>
      <c r="BX51" s="4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4">
        <v>0.80668531915899999</v>
      </c>
      <c r="CL51" s="4">
        <v>-2.2323099197420002</v>
      </c>
      <c r="CM51" s="4">
        <v>-2.5477241329389999</v>
      </c>
      <c r="CN51" s="4">
        <v>-1.1702102704719999</v>
      </c>
      <c r="CO51" s="4">
        <v>4.6773404886789995</v>
      </c>
      <c r="CQ51" s="4">
        <v>4.3544858436526725</v>
      </c>
      <c r="CR51" s="4">
        <v>-1.3945746574346434</v>
      </c>
      <c r="CS51" s="4">
        <v>2.9800493552697427</v>
      </c>
      <c r="CT51" s="4">
        <v>2.5295287507828892</v>
      </c>
      <c r="CU51" s="4">
        <v>-1.5551624177100667</v>
      </c>
    </row>
    <row r="52" spans="1:99" ht="18" customHeight="1">
      <c r="A52" s="2">
        <f t="shared" si="14"/>
        <v>51</v>
      </c>
      <c r="B52" s="9" t="s">
        <v>920</v>
      </c>
      <c r="C52" s="9"/>
      <c r="D52" s="9"/>
      <c r="E52" s="9"/>
      <c r="F52" s="9"/>
      <c r="G52" s="9"/>
      <c r="I52" s="15" t="s">
        <v>73</v>
      </c>
      <c r="J52" s="15">
        <v>50</v>
      </c>
      <c r="K52" s="4">
        <v>0.44963399999999998</v>
      </c>
      <c r="L52" s="4">
        <v>-1.586625</v>
      </c>
      <c r="M52" s="4">
        <v>-7.4777999999999997E-2</v>
      </c>
      <c r="N52" s="4">
        <v>-1.6458200000000001</v>
      </c>
      <c r="O52" s="4">
        <v>1.505657</v>
      </c>
      <c r="P52" s="4">
        <v>-1.280437</v>
      </c>
      <c r="Q52" s="4">
        <v>-1.8309500000000001</v>
      </c>
      <c r="R52" s="4">
        <v>-1.4071549999999999</v>
      </c>
      <c r="S52" s="4">
        <v>-1.234502</v>
      </c>
      <c r="T52" s="4">
        <v>0.95399500000000004</v>
      </c>
      <c r="BH52" s="24"/>
      <c r="BI52" s="24"/>
    </row>
    <row r="53" spans="1:99" ht="18">
      <c r="A53" s="2">
        <f t="shared" si="14"/>
        <v>52</v>
      </c>
      <c r="B53" s="9" t="s">
        <v>921</v>
      </c>
      <c r="C53" s="9"/>
      <c r="D53" s="9"/>
      <c r="E53" s="9"/>
      <c r="F53" s="9"/>
      <c r="G53" s="9"/>
      <c r="I53" s="15" t="s">
        <v>74</v>
      </c>
      <c r="J53" s="15">
        <v>51</v>
      </c>
      <c r="K53" s="4">
        <v>-0.81566799999999995</v>
      </c>
      <c r="L53" s="4">
        <v>-0.69572000000000001</v>
      </c>
      <c r="M53" s="4">
        <v>1.280265</v>
      </c>
      <c r="N53" s="4">
        <v>1.2704709999999999</v>
      </c>
      <c r="O53" s="4">
        <v>-0.29341299999999998</v>
      </c>
      <c r="P53" s="4">
        <v>-0.171297</v>
      </c>
      <c r="Q53" s="4">
        <v>-1.780389</v>
      </c>
      <c r="R53" s="4">
        <v>-1.187109</v>
      </c>
      <c r="S53" s="4">
        <v>1.2437999999999999E-2</v>
      </c>
      <c r="T53" s="4">
        <v>1.5457430000000001</v>
      </c>
    </row>
    <row r="54" spans="1:99" ht="18">
      <c r="A54" s="2">
        <f t="shared" si="14"/>
        <v>53</v>
      </c>
      <c r="B54" s="9" t="s">
        <v>922</v>
      </c>
      <c r="C54" s="9"/>
      <c r="D54" s="9"/>
      <c r="E54" s="9"/>
      <c r="F54" s="9"/>
      <c r="G54" s="9"/>
      <c r="I54" s="15" t="s">
        <v>75</v>
      </c>
      <c r="J54" s="15">
        <v>52</v>
      </c>
      <c r="K54" s="4">
        <v>1.7108840000000001</v>
      </c>
      <c r="L54" s="4">
        <v>1.066195</v>
      </c>
      <c r="M54" s="4">
        <v>-0.34970200000000001</v>
      </c>
      <c r="N54" s="4">
        <v>-1.637105</v>
      </c>
      <c r="O54" s="4">
        <v>-0.380218</v>
      </c>
      <c r="P54" s="4">
        <v>-0.247117</v>
      </c>
      <c r="Q54" s="4">
        <v>-0.73873299999999997</v>
      </c>
      <c r="R54" s="4">
        <v>-2.245787</v>
      </c>
      <c r="S54" s="4">
        <v>-0.44752999999999998</v>
      </c>
      <c r="T54" s="4">
        <v>-1.5966899999999999</v>
      </c>
    </row>
    <row r="55" spans="1:99" ht="18">
      <c r="A55" s="2">
        <f t="shared" si="14"/>
        <v>54</v>
      </c>
      <c r="B55" s="9" t="s">
        <v>923</v>
      </c>
      <c r="C55" s="9"/>
      <c r="D55" s="9"/>
      <c r="E55" s="9"/>
      <c r="F55" s="9"/>
      <c r="G55" s="9"/>
      <c r="I55" s="15" t="s">
        <v>76</v>
      </c>
      <c r="J55" s="15">
        <v>53</v>
      </c>
      <c r="K55" s="4">
        <v>0.41903200000000002</v>
      </c>
      <c r="L55" s="4">
        <v>6.3270999999999994E-2</v>
      </c>
      <c r="M55" s="4">
        <v>-0.49928699999999998</v>
      </c>
      <c r="N55" s="4">
        <v>0.208788</v>
      </c>
      <c r="O55" s="4">
        <v>-1.50054</v>
      </c>
      <c r="P55" s="4">
        <v>1.1512709999999999</v>
      </c>
      <c r="Q55" s="4">
        <v>0.74674300000000005</v>
      </c>
      <c r="R55" s="4">
        <v>6.9019999999999998E-2</v>
      </c>
      <c r="S55" s="4">
        <v>0.52584600000000004</v>
      </c>
      <c r="T55" s="4">
        <v>-0.494815</v>
      </c>
    </row>
    <row r="56" spans="1:99" ht="18">
      <c r="A56" s="2">
        <f t="shared" si="14"/>
        <v>55</v>
      </c>
      <c r="B56" s="9" t="s">
        <v>924</v>
      </c>
      <c r="C56" s="9"/>
      <c r="D56" s="9"/>
      <c r="E56" s="9"/>
      <c r="F56" s="9"/>
      <c r="G56" s="9"/>
      <c r="I56" s="15" t="s">
        <v>77</v>
      </c>
      <c r="J56" s="15">
        <v>54</v>
      </c>
      <c r="K56" s="4">
        <v>0.66162900000000002</v>
      </c>
      <c r="L56" s="4">
        <v>-0.85353400000000001</v>
      </c>
      <c r="M56" s="4">
        <v>-1.9244270000000001</v>
      </c>
      <c r="N56" s="4">
        <v>4.419E-2</v>
      </c>
      <c r="O56" s="4">
        <v>0.13065599999999999</v>
      </c>
      <c r="P56" s="4">
        <v>0.12370299999999999</v>
      </c>
      <c r="Q56" s="4">
        <v>1.3664700000000001</v>
      </c>
      <c r="R56" s="4">
        <v>-2.669432</v>
      </c>
      <c r="S56" s="4">
        <v>-1.127327</v>
      </c>
      <c r="T56" s="4">
        <v>-0.96955499999999994</v>
      </c>
    </row>
    <row r="57" spans="1:99" ht="18">
      <c r="A57" s="2">
        <f t="shared" si="14"/>
        <v>56</v>
      </c>
      <c r="B57" s="9" t="s">
        <v>925</v>
      </c>
      <c r="C57" s="9"/>
      <c r="D57" s="9"/>
      <c r="E57" s="9"/>
      <c r="F57" s="9"/>
      <c r="G57" s="9"/>
      <c r="I57" s="15" t="s">
        <v>78</v>
      </c>
      <c r="J57" s="15">
        <v>55</v>
      </c>
      <c r="K57" s="4">
        <v>1.043836</v>
      </c>
      <c r="L57" s="4">
        <v>-0.32489400000000002</v>
      </c>
      <c r="M57" s="4">
        <v>0.170684</v>
      </c>
      <c r="N57" s="4">
        <v>0.15523999999999999</v>
      </c>
      <c r="O57" s="4">
        <v>-1.6737059999999999</v>
      </c>
      <c r="P57" s="4">
        <v>0.28122999999999998</v>
      </c>
      <c r="Q57" s="4">
        <v>-0.146561</v>
      </c>
      <c r="R57" s="4">
        <v>-0.30823200000000001</v>
      </c>
      <c r="S57" s="4">
        <v>-0.104446</v>
      </c>
      <c r="T57" s="4">
        <v>0.22725799999999999</v>
      </c>
    </row>
    <row r="58" spans="1:99" ht="18">
      <c r="A58" s="2">
        <f t="shared" si="14"/>
        <v>57</v>
      </c>
      <c r="B58" s="9" t="s">
        <v>926</v>
      </c>
      <c r="C58" s="9"/>
      <c r="D58" s="9"/>
      <c r="E58" s="9"/>
      <c r="F58" s="9"/>
      <c r="G58" s="9"/>
      <c r="I58" s="15" t="s">
        <v>79</v>
      </c>
      <c r="J58" s="15">
        <v>56</v>
      </c>
      <c r="K58" s="4">
        <v>1.083704</v>
      </c>
      <c r="L58" s="4">
        <v>0.125939</v>
      </c>
      <c r="M58" s="4">
        <v>-0.71767199999999998</v>
      </c>
      <c r="N58" s="4">
        <v>-0.73435799999999996</v>
      </c>
      <c r="O58" s="4">
        <v>-1.0906039999999999</v>
      </c>
      <c r="P58" s="4">
        <v>-0.38562400000000002</v>
      </c>
      <c r="Q58" s="4">
        <v>-1.078041</v>
      </c>
      <c r="R58" s="4">
        <v>1.943597</v>
      </c>
      <c r="S58" s="4">
        <v>0.91291699999999998</v>
      </c>
      <c r="T58" s="4">
        <v>-0.59286700000000003</v>
      </c>
    </row>
    <row r="59" spans="1:99" ht="18">
      <c r="A59" s="2">
        <f t="shared" si="14"/>
        <v>58</v>
      </c>
      <c r="B59" s="9" t="s">
        <v>927</v>
      </c>
      <c r="C59" s="9"/>
      <c r="D59" s="9"/>
      <c r="E59" s="9"/>
      <c r="F59" s="9"/>
      <c r="G59" s="9"/>
      <c r="I59" s="15" t="s">
        <v>80</v>
      </c>
      <c r="J59" s="15">
        <v>57</v>
      </c>
      <c r="K59" s="4">
        <v>-1.0489170000000001</v>
      </c>
      <c r="L59" s="4">
        <v>-7.6973E-2</v>
      </c>
      <c r="M59" s="4">
        <v>0.44128699999999998</v>
      </c>
      <c r="N59" s="4">
        <v>-2.694318</v>
      </c>
      <c r="O59" s="4">
        <v>0.79709300000000005</v>
      </c>
      <c r="P59" s="4">
        <v>0.60819199999999995</v>
      </c>
      <c r="Q59" s="4">
        <v>-0.137489</v>
      </c>
      <c r="R59" s="4">
        <v>0.75958499999999995</v>
      </c>
      <c r="S59" s="4">
        <v>0.53476100000000004</v>
      </c>
      <c r="T59" s="4">
        <v>-0.15659000000000001</v>
      </c>
    </row>
    <row r="60" spans="1:99" ht="18">
      <c r="A60" s="2">
        <f t="shared" si="14"/>
        <v>59</v>
      </c>
      <c r="B60" s="9" t="s">
        <v>928</v>
      </c>
      <c r="C60" s="9"/>
      <c r="D60" s="9"/>
      <c r="E60" s="9"/>
      <c r="F60" s="9"/>
      <c r="G60" s="9"/>
      <c r="I60" s="15" t="s">
        <v>81</v>
      </c>
      <c r="J60" s="15">
        <v>58</v>
      </c>
      <c r="K60" s="4">
        <v>1.8206009999999999</v>
      </c>
      <c r="L60" s="4">
        <v>-1.437244</v>
      </c>
      <c r="M60" s="4">
        <v>-0.76676599999999995</v>
      </c>
      <c r="N60" s="4">
        <v>-0.20385300000000001</v>
      </c>
      <c r="O60" s="4">
        <v>-0.92823199999999995</v>
      </c>
      <c r="P60" s="4">
        <v>-2.1957209999999998</v>
      </c>
      <c r="Q60" s="4">
        <v>8.1657999999999994E-2</v>
      </c>
      <c r="R60" s="4">
        <v>-0.57359000000000004</v>
      </c>
      <c r="S60" s="4">
        <v>0.38759900000000003</v>
      </c>
      <c r="T60" s="4">
        <v>-1.7153020000000001</v>
      </c>
    </row>
    <row r="61" spans="1:99" ht="18">
      <c r="A61" s="2">
        <f t="shared" si="14"/>
        <v>60</v>
      </c>
      <c r="B61" s="9" t="s">
        <v>929</v>
      </c>
      <c r="C61" s="9"/>
      <c r="D61" s="9"/>
      <c r="E61" s="9"/>
      <c r="F61" s="9"/>
      <c r="G61" s="9"/>
      <c r="I61" s="15" t="s">
        <v>82</v>
      </c>
      <c r="J61" s="15">
        <v>59</v>
      </c>
      <c r="K61" s="4">
        <v>-0.46408300000000002</v>
      </c>
      <c r="L61" s="4">
        <v>-0.58183700000000005</v>
      </c>
      <c r="M61" s="4">
        <v>0.53986100000000004</v>
      </c>
      <c r="N61" s="4">
        <v>-2.8904239999999999</v>
      </c>
      <c r="O61" s="4">
        <v>-1.09016</v>
      </c>
      <c r="P61" s="4">
        <v>3.4540000000000001E-2</v>
      </c>
      <c r="Q61" s="4">
        <v>-2.1272139999999999</v>
      </c>
      <c r="R61" s="4">
        <v>0.64295899999999995</v>
      </c>
      <c r="S61" s="4">
        <v>1.046335</v>
      </c>
      <c r="T61" s="4">
        <v>-1.364808</v>
      </c>
    </row>
    <row r="62" spans="1:99" ht="18">
      <c r="A62" s="2">
        <f t="shared" si="14"/>
        <v>61</v>
      </c>
      <c r="B62" s="9" t="s">
        <v>930</v>
      </c>
      <c r="C62" s="9"/>
      <c r="D62" s="9"/>
      <c r="E62" s="9"/>
      <c r="F62" s="9"/>
      <c r="G62" s="9"/>
      <c r="I62" s="15" t="s">
        <v>83</v>
      </c>
      <c r="J62" s="15">
        <v>60</v>
      </c>
      <c r="K62" s="4">
        <v>0.32705699999999999</v>
      </c>
      <c r="L62" s="4">
        <v>-1.4371620000000001</v>
      </c>
      <c r="M62" s="4">
        <v>-0.81939300000000004</v>
      </c>
      <c r="N62" s="4">
        <v>0.50818099999999999</v>
      </c>
      <c r="O62" s="4">
        <v>-0.711642</v>
      </c>
      <c r="P62" s="4">
        <v>1.1752149999999999</v>
      </c>
      <c r="Q62" s="4">
        <v>-0.30207600000000001</v>
      </c>
      <c r="R62" s="4">
        <v>0.27623300000000001</v>
      </c>
      <c r="S62" s="4">
        <v>-2.8761009999999998</v>
      </c>
      <c r="T62" s="4">
        <v>-0.39718199999999998</v>
      </c>
    </row>
    <row r="63" spans="1:99" ht="18">
      <c r="A63" s="2">
        <f t="shared" si="14"/>
        <v>62</v>
      </c>
      <c r="B63" s="9" t="s">
        <v>931</v>
      </c>
      <c r="C63" s="9"/>
      <c r="D63" s="9"/>
      <c r="E63" s="9"/>
      <c r="F63" s="9"/>
      <c r="G63" s="9"/>
      <c r="I63" s="15" t="s">
        <v>84</v>
      </c>
      <c r="J63" s="15">
        <v>61</v>
      </c>
      <c r="K63" s="4">
        <v>0.62422</v>
      </c>
      <c r="L63" s="4">
        <v>-0.35557299999999997</v>
      </c>
      <c r="M63" s="4">
        <v>0.47351599999999999</v>
      </c>
      <c r="N63" s="4">
        <v>0.199489</v>
      </c>
      <c r="O63" s="4">
        <v>1.0125219999999999</v>
      </c>
      <c r="P63" s="4">
        <v>0.34544399999999997</v>
      </c>
      <c r="Q63" s="4">
        <v>-0.147397</v>
      </c>
      <c r="R63" s="4">
        <v>-0.36057899999999998</v>
      </c>
      <c r="S63" s="4">
        <v>-0.83424200000000004</v>
      </c>
      <c r="T63" s="4">
        <v>-0.81501000000000001</v>
      </c>
    </row>
    <row r="64" spans="1:99" ht="18">
      <c r="A64" s="2">
        <f t="shared" si="14"/>
        <v>63</v>
      </c>
      <c r="B64" s="9" t="s">
        <v>932</v>
      </c>
      <c r="C64" s="9"/>
      <c r="D64" s="9"/>
      <c r="E64" s="9"/>
      <c r="F64" s="9"/>
      <c r="G64" s="9"/>
      <c r="I64" s="15" t="s">
        <v>85</v>
      </c>
      <c r="J64" s="15">
        <v>62</v>
      </c>
      <c r="K64" s="4">
        <v>-0.47485100000000002</v>
      </c>
      <c r="L64" s="4">
        <v>1.107399</v>
      </c>
      <c r="M64" s="4">
        <v>0.16892399999999999</v>
      </c>
      <c r="N64" s="4">
        <v>0.67899399999999999</v>
      </c>
      <c r="O64" s="4">
        <v>-0.25571199999999999</v>
      </c>
      <c r="P64" s="4">
        <v>0.87661699999999998</v>
      </c>
      <c r="Q64" s="4">
        <v>1.3253029999999999</v>
      </c>
      <c r="R64" s="4">
        <v>-0.32302700000000001</v>
      </c>
      <c r="S64" s="4">
        <v>-1.2397320000000001</v>
      </c>
      <c r="T64" s="4">
        <v>-0.31759599999999999</v>
      </c>
    </row>
    <row r="65" spans="1:20" ht="18">
      <c r="A65" s="2">
        <f t="shared" si="14"/>
        <v>64</v>
      </c>
      <c r="B65" s="9" t="s">
        <v>933</v>
      </c>
      <c r="C65" s="9"/>
      <c r="D65" s="9"/>
      <c r="E65" s="9"/>
      <c r="F65" s="9"/>
      <c r="G65" s="9"/>
      <c r="I65" s="15" t="s">
        <v>86</v>
      </c>
      <c r="J65" s="15">
        <v>63</v>
      </c>
      <c r="K65" s="4">
        <v>0.42427700000000002</v>
      </c>
      <c r="L65" s="4">
        <v>-3.0282800000000001</v>
      </c>
      <c r="M65" s="4">
        <v>-9.0019000000000002E-2</v>
      </c>
      <c r="N65" s="4">
        <v>-0.24487</v>
      </c>
      <c r="O65" s="4">
        <v>-7.4195999999999998E-2</v>
      </c>
      <c r="P65" s="4">
        <v>-0.91890099999999997</v>
      </c>
      <c r="Q65" s="4">
        <v>0.70707200000000003</v>
      </c>
      <c r="R65" s="4">
        <v>-0.78343300000000005</v>
      </c>
      <c r="S65" s="4">
        <v>1.4536089999999999</v>
      </c>
      <c r="T65" s="4">
        <v>1.044754</v>
      </c>
    </row>
    <row r="66" spans="1:20" ht="18">
      <c r="A66" s="2">
        <f t="shared" si="14"/>
        <v>65</v>
      </c>
      <c r="B66" s="9" t="s">
        <v>934</v>
      </c>
      <c r="C66" s="9"/>
      <c r="D66" s="9"/>
      <c r="E66" s="9"/>
      <c r="F66" s="9"/>
      <c r="G66" s="9"/>
      <c r="I66" s="15" t="s">
        <v>87</v>
      </c>
      <c r="J66" s="15">
        <v>64</v>
      </c>
      <c r="K66" s="4">
        <v>-0.58036699999999997</v>
      </c>
      <c r="L66" s="4">
        <v>0.68896599999999997</v>
      </c>
      <c r="M66" s="4">
        <v>-0.96669400000000005</v>
      </c>
      <c r="N66" s="4">
        <v>-0.27467399999999997</v>
      </c>
      <c r="O66" s="4">
        <v>-2.0604520000000002</v>
      </c>
      <c r="P66" s="4">
        <v>-1.0726169999999999</v>
      </c>
      <c r="Q66" s="4">
        <v>0.599495</v>
      </c>
      <c r="R66" s="4">
        <v>-0.29614699999999999</v>
      </c>
      <c r="S66" s="4">
        <v>-1.22584</v>
      </c>
      <c r="T66" s="4">
        <v>0.177791</v>
      </c>
    </row>
    <row r="67" spans="1:20" ht="18">
      <c r="A67" s="2">
        <f t="shared" ref="A67:A130" si="97">ROW()-1</f>
        <v>66</v>
      </c>
      <c r="B67" s="9" t="s">
        <v>935</v>
      </c>
      <c r="C67" s="9"/>
      <c r="D67" s="9"/>
      <c r="E67" s="9"/>
      <c r="F67" s="9"/>
      <c r="G67" s="9"/>
      <c r="I67" s="15" t="s">
        <v>88</v>
      </c>
      <c r="J67" s="15">
        <v>65</v>
      </c>
      <c r="K67" s="4">
        <v>0.380243</v>
      </c>
      <c r="L67" s="4">
        <v>-0.20615700000000001</v>
      </c>
      <c r="M67" s="4">
        <v>0.45294800000000002</v>
      </c>
      <c r="N67" s="4">
        <v>1.0616589999999999</v>
      </c>
      <c r="O67" s="4">
        <v>0.66683599999999998</v>
      </c>
      <c r="P67" s="4">
        <v>0.89664699999999997</v>
      </c>
      <c r="Q67" s="4">
        <v>-5.9145999999999997E-2</v>
      </c>
      <c r="R67" s="4">
        <v>-0.82921699999999998</v>
      </c>
      <c r="S67" s="4">
        <v>1.5023999999999999E-2</v>
      </c>
      <c r="T67" s="4">
        <v>-0.32287500000000002</v>
      </c>
    </row>
    <row r="68" spans="1:20" ht="18">
      <c r="A68" s="2">
        <f t="shared" si="97"/>
        <v>67</v>
      </c>
      <c r="B68" s="9" t="s">
        <v>936</v>
      </c>
      <c r="C68" s="9"/>
      <c r="D68" s="9"/>
      <c r="E68" s="9"/>
      <c r="F68" s="9"/>
      <c r="G68" s="9"/>
      <c r="I68" s="15" t="s">
        <v>89</v>
      </c>
      <c r="J68" s="15">
        <v>66</v>
      </c>
      <c r="K68" s="4">
        <v>6.9267999999999996E-2</v>
      </c>
      <c r="L68" s="4">
        <v>0.76081100000000002</v>
      </c>
      <c r="M68" s="4">
        <v>0.446627</v>
      </c>
      <c r="N68" s="4">
        <v>-1.2656540000000001</v>
      </c>
      <c r="O68" s="4">
        <v>6.6129999999999994E-2</v>
      </c>
      <c r="P68" s="4">
        <v>-0.99045499999999997</v>
      </c>
      <c r="Q68" s="4">
        <v>-0.492172</v>
      </c>
      <c r="R68" s="4">
        <v>-0.69605499999999998</v>
      </c>
      <c r="S68" s="4">
        <v>-0.53547100000000003</v>
      </c>
      <c r="T68" s="4">
        <v>1.921942</v>
      </c>
    </row>
    <row r="69" spans="1:20" ht="18">
      <c r="A69" s="2">
        <f t="shared" si="97"/>
        <v>68</v>
      </c>
      <c r="B69" s="9" t="s">
        <v>937</v>
      </c>
      <c r="C69" s="9"/>
      <c r="D69" s="9"/>
      <c r="E69" s="9"/>
      <c r="F69" s="9"/>
      <c r="G69" s="9"/>
      <c r="I69" s="15" t="s">
        <v>90</v>
      </c>
      <c r="J69" s="15">
        <v>67</v>
      </c>
      <c r="K69" s="4">
        <v>-0.31721899999999997</v>
      </c>
      <c r="L69" s="4">
        <v>-0.136768</v>
      </c>
      <c r="M69" s="4">
        <v>1.18472</v>
      </c>
      <c r="N69" s="4">
        <v>0.406752</v>
      </c>
      <c r="O69" s="4">
        <v>-0.851858</v>
      </c>
      <c r="P69" s="4">
        <v>-1.627386</v>
      </c>
      <c r="Q69" s="4">
        <v>-0.44151200000000002</v>
      </c>
      <c r="R69" s="4">
        <v>-0.20818500000000001</v>
      </c>
      <c r="S69" s="4">
        <v>0.89504499999999998</v>
      </c>
      <c r="T69" s="4">
        <v>0.22994899999999999</v>
      </c>
    </row>
    <row r="70" spans="1:20" ht="18">
      <c r="A70" s="2">
        <f t="shared" si="97"/>
        <v>69</v>
      </c>
      <c r="B70" s="9" t="s">
        <v>938</v>
      </c>
      <c r="C70" s="9"/>
      <c r="D70" s="9"/>
      <c r="E70" s="9"/>
      <c r="F70" s="9"/>
      <c r="G70" s="9"/>
      <c r="I70" s="15" t="s">
        <v>91</v>
      </c>
      <c r="J70" s="15">
        <v>68</v>
      </c>
      <c r="K70" s="4">
        <v>-0.14121400000000001</v>
      </c>
      <c r="L70" s="4">
        <v>-0.55227800000000005</v>
      </c>
      <c r="M70" s="4">
        <v>-1.0778890000000001</v>
      </c>
      <c r="N70" s="4">
        <v>-0.60829599999999995</v>
      </c>
      <c r="O70" s="4">
        <v>0.299848</v>
      </c>
      <c r="P70" s="4">
        <v>-0.17762800000000001</v>
      </c>
      <c r="Q70" s="4">
        <v>0.88910299999999998</v>
      </c>
      <c r="R70" s="4">
        <v>-0.41537800000000002</v>
      </c>
      <c r="S70" s="4">
        <v>-0.43878200000000001</v>
      </c>
      <c r="T70" s="4">
        <v>-0.68118000000000001</v>
      </c>
    </row>
    <row r="71" spans="1:20" ht="18">
      <c r="A71" s="2">
        <f t="shared" si="97"/>
        <v>70</v>
      </c>
      <c r="B71" s="9" t="s">
        <v>939</v>
      </c>
      <c r="C71" s="9"/>
      <c r="D71" s="9"/>
      <c r="E71" s="9"/>
      <c r="F71" s="9"/>
      <c r="G71" s="9"/>
      <c r="I71" s="15" t="s">
        <v>92</v>
      </c>
      <c r="J71" s="15">
        <v>69</v>
      </c>
      <c r="K71" s="4">
        <v>-8.0630000000000007E-3</v>
      </c>
      <c r="L71" s="4">
        <v>1.164418</v>
      </c>
      <c r="M71" s="4">
        <v>-0.69755299999999998</v>
      </c>
      <c r="N71" s="4">
        <v>1.8100879999999999</v>
      </c>
      <c r="O71" s="4">
        <v>-0.39426</v>
      </c>
      <c r="P71" s="4">
        <v>-1.276745</v>
      </c>
      <c r="Q71" s="4">
        <v>0.96971799999999997</v>
      </c>
      <c r="R71" s="4">
        <v>1.2882670000000001</v>
      </c>
      <c r="S71" s="4">
        <v>-0.57054199999999999</v>
      </c>
      <c r="T71" s="4">
        <v>1.234801</v>
      </c>
    </row>
    <row r="72" spans="1:20" ht="18">
      <c r="A72" s="2">
        <f t="shared" si="97"/>
        <v>71</v>
      </c>
      <c r="B72" s="9" t="s">
        <v>940</v>
      </c>
      <c r="C72" s="9"/>
      <c r="D72" s="9"/>
      <c r="E72" s="9"/>
      <c r="F72" s="9"/>
      <c r="G72" s="9"/>
      <c r="I72" s="15" t="s">
        <v>93</v>
      </c>
      <c r="J72" s="15">
        <v>70</v>
      </c>
      <c r="K72" s="4">
        <v>-0.82823500000000005</v>
      </c>
      <c r="L72" s="4">
        <v>-1.3871690000000001</v>
      </c>
      <c r="M72" s="4">
        <v>0.22028</v>
      </c>
      <c r="N72" s="4">
        <v>2.0217450000000001</v>
      </c>
      <c r="O72" s="4">
        <v>0.90499600000000002</v>
      </c>
      <c r="P72" s="4">
        <v>-1.0679270000000001</v>
      </c>
      <c r="Q72" s="4">
        <v>-1.15358</v>
      </c>
      <c r="R72" s="4">
        <v>0.88535200000000003</v>
      </c>
      <c r="S72" s="4">
        <v>1.634047</v>
      </c>
      <c r="T72" s="4">
        <v>1.185014</v>
      </c>
    </row>
    <row r="73" spans="1:20" ht="18">
      <c r="A73" s="2">
        <f t="shared" si="97"/>
        <v>72</v>
      </c>
      <c r="B73" s="9" t="s">
        <v>941</v>
      </c>
      <c r="C73" s="9"/>
      <c r="D73" s="9"/>
      <c r="E73" s="9"/>
      <c r="F73" s="9"/>
      <c r="G73" s="9"/>
      <c r="I73" s="15" t="s">
        <v>94</v>
      </c>
      <c r="J73" s="15">
        <v>71</v>
      </c>
      <c r="K73" s="4">
        <v>0.10614999999999999</v>
      </c>
      <c r="L73" s="4">
        <v>-0.20391799999999999</v>
      </c>
      <c r="M73" s="4">
        <v>-8.0839999999999995E-2</v>
      </c>
      <c r="N73" s="4">
        <v>4.4954000000000001E-2</v>
      </c>
      <c r="O73" s="4">
        <v>-1.4649080000000001</v>
      </c>
      <c r="P73" s="4">
        <v>1.742397</v>
      </c>
      <c r="Q73" s="4">
        <v>0.94841799999999998</v>
      </c>
      <c r="R73" s="4">
        <v>-0.914632</v>
      </c>
      <c r="S73" s="4">
        <v>0.82153799999999999</v>
      </c>
      <c r="T73" s="4">
        <v>0.58382199999999995</v>
      </c>
    </row>
    <row r="74" spans="1:20" ht="18">
      <c r="A74" s="2">
        <f t="shared" si="97"/>
        <v>73</v>
      </c>
      <c r="B74" s="9" t="s">
        <v>942</v>
      </c>
      <c r="C74" s="9"/>
      <c r="D74" s="9"/>
      <c r="E74" s="9"/>
      <c r="F74" s="9"/>
      <c r="G74" s="9"/>
      <c r="I74" s="15" t="s">
        <v>95</v>
      </c>
      <c r="J74" s="15">
        <v>72</v>
      </c>
      <c r="K74" s="4">
        <v>-0.159775</v>
      </c>
      <c r="L74" s="4">
        <v>-0.73389400000000005</v>
      </c>
      <c r="M74" s="4">
        <v>0.24097499999999999</v>
      </c>
      <c r="N74" s="4">
        <v>-1.904714</v>
      </c>
      <c r="O74" s="4">
        <v>-1.9002330000000001</v>
      </c>
      <c r="P74" s="4">
        <v>0.228048</v>
      </c>
      <c r="Q74" s="4">
        <v>0.688303</v>
      </c>
      <c r="R74" s="4">
        <v>-0.63230799999999998</v>
      </c>
      <c r="S74" s="4">
        <v>1.0961350000000001</v>
      </c>
      <c r="T74" s="4">
        <v>0.74542600000000003</v>
      </c>
    </row>
    <row r="75" spans="1:20" ht="18">
      <c r="A75" s="2">
        <f t="shared" si="97"/>
        <v>74</v>
      </c>
      <c r="B75" s="9" t="s">
        <v>943</v>
      </c>
      <c r="C75" s="9"/>
      <c r="D75" s="9"/>
      <c r="E75" s="9"/>
      <c r="F75" s="9"/>
      <c r="G75" s="9"/>
      <c r="I75" s="15" t="s">
        <v>96</v>
      </c>
      <c r="J75" s="15">
        <v>73</v>
      </c>
      <c r="K75" s="4">
        <v>1.4921789999999999</v>
      </c>
      <c r="L75" s="4">
        <v>-0.148704</v>
      </c>
      <c r="M75" s="4">
        <v>1.5286090000000001</v>
      </c>
      <c r="N75" s="4">
        <v>-0.96646900000000002</v>
      </c>
      <c r="O75" s="4">
        <v>0.43901600000000002</v>
      </c>
      <c r="P75" s="4">
        <v>7.6477000000000003E-2</v>
      </c>
      <c r="Q75" s="4">
        <v>-0.86573299999999997</v>
      </c>
      <c r="R75" s="4">
        <v>0.90636700000000003</v>
      </c>
      <c r="S75" s="4">
        <v>0.71997100000000003</v>
      </c>
      <c r="T75" s="4">
        <v>-4.1266999999999998E-2</v>
      </c>
    </row>
    <row r="76" spans="1:20" ht="18">
      <c r="A76" s="2">
        <f t="shared" si="97"/>
        <v>75</v>
      </c>
      <c r="B76" s="9" t="s">
        <v>944</v>
      </c>
      <c r="C76" s="9"/>
      <c r="D76" s="9"/>
      <c r="E76" s="9"/>
      <c r="F76" s="9"/>
      <c r="G76" s="9"/>
      <c r="I76" s="15" t="s">
        <v>97</v>
      </c>
      <c r="J76" s="15">
        <v>74</v>
      </c>
      <c r="K76" s="4">
        <v>-1.0506E-2</v>
      </c>
      <c r="L76" s="4">
        <v>0.44985999999999998</v>
      </c>
      <c r="M76" s="4">
        <v>1.767981</v>
      </c>
      <c r="N76" s="4">
        <v>0.21432899999999999</v>
      </c>
      <c r="O76" s="4">
        <v>8.8289999999999993E-2</v>
      </c>
      <c r="P76" s="4">
        <v>-0.84192699999999998</v>
      </c>
      <c r="Q76" s="4">
        <v>-8.6433999999999997E-2</v>
      </c>
      <c r="R76" s="4">
        <v>-3.9655999999999997E-2</v>
      </c>
      <c r="S76" s="4">
        <v>0.95146399999999998</v>
      </c>
      <c r="T76" s="4">
        <v>-1.2921229999999999</v>
      </c>
    </row>
    <row r="77" spans="1:20" ht="18">
      <c r="A77" s="2">
        <f t="shared" si="97"/>
        <v>76</v>
      </c>
      <c r="B77" s="9" t="s">
        <v>945</v>
      </c>
      <c r="C77" s="9"/>
      <c r="D77" s="9"/>
      <c r="E77" s="9"/>
      <c r="F77" s="9"/>
      <c r="G77" s="9"/>
      <c r="I77" s="15" t="s">
        <v>98</v>
      </c>
      <c r="J77" s="15">
        <v>75</v>
      </c>
      <c r="K77" s="4">
        <v>1.5985130000000001</v>
      </c>
      <c r="L77" s="4">
        <v>6.7318000000000003E-2</v>
      </c>
      <c r="M77" s="4">
        <v>2.5713E-2</v>
      </c>
      <c r="N77" s="4">
        <v>-0.63007599999999997</v>
      </c>
      <c r="O77" s="4">
        <v>-0.15664700000000001</v>
      </c>
      <c r="P77" s="4">
        <v>1.024923</v>
      </c>
      <c r="Q77" s="4">
        <v>0.17491699999999999</v>
      </c>
      <c r="R77" s="4">
        <v>9.8422999999999997E-2</v>
      </c>
      <c r="S77" s="4">
        <v>0.77218100000000001</v>
      </c>
      <c r="T77" s="4">
        <v>0.52143099999999998</v>
      </c>
    </row>
    <row r="78" spans="1:20" ht="18">
      <c r="A78" s="2">
        <f t="shared" si="97"/>
        <v>77</v>
      </c>
      <c r="B78" s="9" t="s">
        <v>946</v>
      </c>
      <c r="C78" s="9"/>
      <c r="D78" s="9"/>
      <c r="E78" s="9"/>
      <c r="F78" s="9"/>
      <c r="G78" s="9"/>
      <c r="I78" s="15" t="s">
        <v>99</v>
      </c>
      <c r="J78" s="15">
        <v>76</v>
      </c>
      <c r="K78" s="4">
        <v>-1.540387</v>
      </c>
      <c r="L78" s="4">
        <v>-0.31124299999999999</v>
      </c>
      <c r="M78" s="4">
        <v>1.5557920000000001</v>
      </c>
      <c r="N78" s="4">
        <v>-0.51660300000000003</v>
      </c>
      <c r="O78" s="4">
        <v>-0.54690000000000005</v>
      </c>
      <c r="P78" s="4">
        <v>1.1463000000000001</v>
      </c>
      <c r="Q78" s="4">
        <v>-0.75140300000000004</v>
      </c>
      <c r="R78" s="4">
        <v>0.56366300000000003</v>
      </c>
      <c r="S78" s="4">
        <v>6.5201999999999996E-2</v>
      </c>
      <c r="T78" s="4">
        <v>1.845639</v>
      </c>
    </row>
    <row r="79" spans="1:20" ht="18">
      <c r="A79" s="2">
        <f t="shared" si="97"/>
        <v>78</v>
      </c>
      <c r="B79" s="9" t="s">
        <v>947</v>
      </c>
      <c r="C79" s="9"/>
      <c r="D79" s="9"/>
      <c r="E79" s="9"/>
      <c r="F79" s="9"/>
      <c r="G79" s="9"/>
      <c r="I79" s="15" t="s">
        <v>100</v>
      </c>
      <c r="J79" s="15">
        <v>77</v>
      </c>
      <c r="K79" s="4">
        <v>0.63268800000000003</v>
      </c>
      <c r="L79" s="4">
        <v>-9.8548999999999998E-2</v>
      </c>
      <c r="M79" s="4">
        <v>-0.85559200000000002</v>
      </c>
      <c r="N79" s="4">
        <v>-0.35345900000000002</v>
      </c>
      <c r="O79" s="4">
        <v>0.402225</v>
      </c>
      <c r="P79" s="4">
        <v>1.078095</v>
      </c>
      <c r="Q79" s="4">
        <v>0.75661</v>
      </c>
      <c r="R79" s="4">
        <v>1.480092</v>
      </c>
      <c r="S79" s="4">
        <v>1.686836</v>
      </c>
      <c r="T79" s="4">
        <v>-0.92862599999999995</v>
      </c>
    </row>
    <row r="80" spans="1:20" ht="18">
      <c r="A80" s="2">
        <f t="shared" si="97"/>
        <v>79</v>
      </c>
      <c r="B80" s="9" t="s">
        <v>948</v>
      </c>
      <c r="C80" s="9"/>
      <c r="D80" s="9"/>
      <c r="E80" s="9"/>
      <c r="F80" s="9"/>
      <c r="G80" s="9"/>
      <c r="I80" s="15" t="s">
        <v>101</v>
      </c>
      <c r="J80" s="15">
        <v>78</v>
      </c>
      <c r="K80" s="4">
        <v>0.21716099999999999</v>
      </c>
      <c r="L80" s="4">
        <v>-1.249695</v>
      </c>
      <c r="M80" s="4">
        <v>-1.1138140000000001</v>
      </c>
      <c r="N80" s="4">
        <v>1.3359780000000001</v>
      </c>
      <c r="O80" s="4">
        <v>0.80788300000000002</v>
      </c>
      <c r="P80" s="4">
        <v>-0.27573199999999998</v>
      </c>
      <c r="Q80" s="4">
        <v>3.3327969999999998</v>
      </c>
      <c r="R80" s="4">
        <v>-0.65291600000000005</v>
      </c>
      <c r="S80" s="4">
        <v>0.97797999999999996</v>
      </c>
      <c r="T80" s="4">
        <v>-0.543018</v>
      </c>
    </row>
    <row r="81" spans="1:20" ht="18">
      <c r="A81" s="2">
        <f t="shared" si="97"/>
        <v>80</v>
      </c>
      <c r="B81" s="9" t="s">
        <v>949</v>
      </c>
      <c r="C81" s="9"/>
      <c r="D81" s="9"/>
      <c r="E81" s="9"/>
      <c r="F81" s="9"/>
      <c r="G81" s="9"/>
      <c r="I81" s="15" t="s">
        <v>102</v>
      </c>
      <c r="J81" s="15">
        <v>79</v>
      </c>
      <c r="K81" s="4">
        <v>1.0260609999999999</v>
      </c>
      <c r="L81" s="4">
        <v>0.35252899999999998</v>
      </c>
      <c r="M81" s="4">
        <v>5.459E-2</v>
      </c>
      <c r="N81" s="4">
        <v>0.289912</v>
      </c>
      <c r="O81" s="4">
        <v>0.73938599999999999</v>
      </c>
      <c r="P81" s="4">
        <v>-1.334508</v>
      </c>
      <c r="Q81" s="4">
        <v>-0.58352000000000004</v>
      </c>
      <c r="R81" s="4">
        <v>0.53930100000000003</v>
      </c>
      <c r="S81" s="4">
        <v>-1.0391760000000001</v>
      </c>
      <c r="T81" s="4">
        <v>1.392E-2</v>
      </c>
    </row>
    <row r="82" spans="1:20" ht="18">
      <c r="A82" s="2">
        <f t="shared" si="97"/>
        <v>81</v>
      </c>
      <c r="B82" s="9" t="s">
        <v>950</v>
      </c>
      <c r="C82" s="9"/>
      <c r="D82" s="9"/>
      <c r="E82" s="9"/>
      <c r="F82" s="9"/>
      <c r="G82" s="9"/>
      <c r="I82" s="15" t="s">
        <v>103</v>
      </c>
      <c r="J82" s="15">
        <v>80</v>
      </c>
      <c r="K82" s="4">
        <v>-0.71044399999999996</v>
      </c>
      <c r="L82" s="4">
        <v>-0.43812000000000001</v>
      </c>
      <c r="M82" s="4">
        <v>-0.71265100000000003</v>
      </c>
      <c r="N82" s="4">
        <v>0.47960000000000003</v>
      </c>
      <c r="O82" s="4">
        <v>0.79091100000000003</v>
      </c>
      <c r="P82" s="4">
        <v>0.51226000000000005</v>
      </c>
      <c r="Q82" s="4">
        <v>-0.59724699999999997</v>
      </c>
      <c r="R82" s="4">
        <v>0.94042899999999996</v>
      </c>
      <c r="S82" s="4">
        <v>0.37346299999999999</v>
      </c>
      <c r="T82" s="4">
        <v>0.64236000000000004</v>
      </c>
    </row>
    <row r="83" spans="1:20" ht="18">
      <c r="A83" s="2">
        <f t="shared" si="97"/>
        <v>82</v>
      </c>
      <c r="B83" s="9" t="s">
        <v>951</v>
      </c>
      <c r="C83" s="9"/>
      <c r="D83" s="9"/>
      <c r="E83" s="9"/>
      <c r="F83" s="9"/>
      <c r="G83" s="9"/>
      <c r="I83" s="15" t="s">
        <v>104</v>
      </c>
      <c r="J83" s="15">
        <v>81</v>
      </c>
      <c r="K83" s="4">
        <v>1.495771</v>
      </c>
      <c r="L83" s="4">
        <v>-0.121854</v>
      </c>
      <c r="M83" s="4">
        <v>-1.964369</v>
      </c>
      <c r="N83" s="4">
        <v>1.08697</v>
      </c>
      <c r="O83" s="4">
        <v>-0.853078</v>
      </c>
      <c r="P83" s="4">
        <v>0.40034599999999998</v>
      </c>
      <c r="Q83" s="4">
        <v>1.0430330000000001</v>
      </c>
      <c r="R83" s="4">
        <v>-0.96119900000000003</v>
      </c>
      <c r="S83" s="4">
        <v>-0.41410400000000003</v>
      </c>
      <c r="T83" s="4">
        <v>-0.69490200000000002</v>
      </c>
    </row>
    <row r="84" spans="1:20" ht="18">
      <c r="A84" s="2">
        <f t="shared" si="97"/>
        <v>83</v>
      </c>
      <c r="B84" s="9" t="s">
        <v>952</v>
      </c>
      <c r="C84" s="9"/>
      <c r="D84" s="9"/>
      <c r="E84" s="9"/>
      <c r="F84" s="9"/>
      <c r="G84" s="9"/>
      <c r="I84" s="15" t="s">
        <v>105</v>
      </c>
      <c r="J84" s="15">
        <v>82</v>
      </c>
      <c r="K84" s="4">
        <v>0.58108800000000005</v>
      </c>
      <c r="L84" s="4">
        <v>0.23253199999999999</v>
      </c>
      <c r="M84" s="4">
        <v>-0.14627699999999999</v>
      </c>
      <c r="N84" s="4">
        <v>-0.10252600000000001</v>
      </c>
      <c r="O84" s="4">
        <v>-0.217728</v>
      </c>
      <c r="P84" s="4">
        <v>-0.17020399999999999</v>
      </c>
      <c r="Q84" s="4">
        <v>-3.4853000000000001</v>
      </c>
      <c r="R84" s="4">
        <v>-0.26763500000000001</v>
      </c>
      <c r="S84" s="4">
        <v>-0.58797200000000005</v>
      </c>
      <c r="T84" s="4">
        <v>1.038508</v>
      </c>
    </row>
    <row r="85" spans="1:20" ht="18">
      <c r="A85" s="2">
        <f t="shared" si="97"/>
        <v>84</v>
      </c>
      <c r="B85" s="9" t="s">
        <v>953</v>
      </c>
      <c r="C85" s="9"/>
      <c r="D85" s="9"/>
      <c r="E85" s="9"/>
      <c r="F85" s="9"/>
      <c r="G85" s="9"/>
      <c r="I85" s="15" t="s">
        <v>106</v>
      </c>
      <c r="J85" s="15">
        <v>83</v>
      </c>
      <c r="K85" s="4">
        <v>1.229887</v>
      </c>
      <c r="L85" s="4">
        <v>1.0311380000000001</v>
      </c>
      <c r="M85" s="4">
        <v>-0.31221700000000002</v>
      </c>
      <c r="N85" s="4">
        <v>-1.1774640000000001</v>
      </c>
      <c r="O85" s="4">
        <v>-0.94394699999999998</v>
      </c>
      <c r="P85" s="4">
        <v>-0.63905800000000001</v>
      </c>
      <c r="Q85" s="4">
        <v>-0.43468400000000001</v>
      </c>
      <c r="R85" s="4">
        <v>-0.24740599999999999</v>
      </c>
      <c r="S85" s="4">
        <v>0.34819099999999997</v>
      </c>
      <c r="T85" s="4">
        <v>-1.0128330000000001</v>
      </c>
    </row>
    <row r="86" spans="1:20" ht="18">
      <c r="A86" s="2">
        <f t="shared" si="97"/>
        <v>85</v>
      </c>
      <c r="B86" s="9" t="s">
        <v>954</v>
      </c>
      <c r="C86" s="9"/>
      <c r="D86" s="9"/>
      <c r="E86" s="9"/>
      <c r="F86" s="9"/>
      <c r="G86" s="9"/>
      <c r="I86" s="15" t="s">
        <v>107</v>
      </c>
      <c r="J86" s="15">
        <v>84</v>
      </c>
      <c r="K86" s="4">
        <v>-0.567859</v>
      </c>
      <c r="L86" s="4">
        <v>-0.23242699999999999</v>
      </c>
      <c r="M86" s="4">
        <v>1.267377</v>
      </c>
      <c r="N86" s="4">
        <v>0.145758</v>
      </c>
      <c r="O86" s="4">
        <v>0.24721099999999999</v>
      </c>
      <c r="P86" s="4">
        <v>1.467873</v>
      </c>
      <c r="Q86" s="4">
        <v>1.6677</v>
      </c>
      <c r="R86" s="4">
        <v>1.1254759999999999</v>
      </c>
      <c r="S86" s="4">
        <v>2.0972000000000001E-2</v>
      </c>
      <c r="T86" s="4">
        <v>-0.50016700000000003</v>
      </c>
    </row>
    <row r="87" spans="1:20" ht="18">
      <c r="A87" s="2">
        <f t="shared" si="97"/>
        <v>86</v>
      </c>
      <c r="B87" s="9" t="s">
        <v>955</v>
      </c>
      <c r="C87" s="9"/>
      <c r="D87" s="9"/>
      <c r="E87" s="9"/>
      <c r="F87" s="9"/>
      <c r="G87" s="9"/>
      <c r="I87" s="15" t="s">
        <v>108</v>
      </c>
      <c r="J87" s="15">
        <v>85</v>
      </c>
      <c r="K87" s="4">
        <v>-4.0500000000000001E-2</v>
      </c>
      <c r="L87" s="4">
        <v>-0.53059100000000003</v>
      </c>
      <c r="M87" s="4">
        <v>-1.074686</v>
      </c>
      <c r="N87" s="4">
        <v>1.0874060000000001</v>
      </c>
      <c r="O87" s="4">
        <v>1.0328980000000001</v>
      </c>
      <c r="P87" s="4">
        <v>-1.524899</v>
      </c>
      <c r="Q87" s="4">
        <v>-0.875301</v>
      </c>
      <c r="R87" s="4">
        <v>-0.67114300000000005</v>
      </c>
      <c r="S87" s="4">
        <v>-0.94128100000000003</v>
      </c>
      <c r="T87" s="4">
        <v>-2.3928039999999999</v>
      </c>
    </row>
    <row r="88" spans="1:20" ht="18">
      <c r="A88" s="2">
        <f t="shared" si="97"/>
        <v>87</v>
      </c>
      <c r="B88" s="9" t="s">
        <v>956</v>
      </c>
      <c r="C88" s="9"/>
      <c r="D88" s="9"/>
      <c r="E88" s="9"/>
      <c r="F88" s="9"/>
      <c r="G88" s="9"/>
      <c r="I88" s="15" t="s">
        <v>109</v>
      </c>
      <c r="J88" s="15">
        <v>86</v>
      </c>
      <c r="K88" s="4">
        <v>-2.3482759999999998</v>
      </c>
      <c r="L88" s="4">
        <v>-0.41920299999999999</v>
      </c>
      <c r="M88" s="4">
        <v>0.403277</v>
      </c>
      <c r="N88" s="4">
        <v>-0.42893799999999999</v>
      </c>
      <c r="O88" s="4">
        <v>0.16391800000000001</v>
      </c>
      <c r="P88" s="4">
        <v>1.876773</v>
      </c>
      <c r="Q88" s="4">
        <v>-0.119904</v>
      </c>
      <c r="R88" s="4">
        <v>-0.49908599999999997</v>
      </c>
      <c r="S88" s="4">
        <v>-0.34024199999999999</v>
      </c>
      <c r="T88" s="4">
        <v>-0.805338</v>
      </c>
    </row>
    <row r="89" spans="1:20" ht="18">
      <c r="A89" s="2">
        <f t="shared" si="97"/>
        <v>88</v>
      </c>
      <c r="B89" s="9" t="s">
        <v>957</v>
      </c>
      <c r="C89" s="9"/>
      <c r="D89" s="9"/>
      <c r="E89" s="9"/>
      <c r="F89" s="9"/>
      <c r="G89" s="9"/>
      <c r="I89" s="15" t="s">
        <v>110</v>
      </c>
      <c r="J89" s="15">
        <v>87</v>
      </c>
      <c r="K89" s="4">
        <v>1.1517980000000001</v>
      </c>
      <c r="L89" s="4">
        <v>-0.85444100000000001</v>
      </c>
      <c r="M89" s="4">
        <v>-2.0195509999999999</v>
      </c>
      <c r="N89" s="4">
        <v>-0.16608100000000001</v>
      </c>
      <c r="O89" s="4">
        <v>1.0941749999999999</v>
      </c>
      <c r="P89" s="4">
        <v>-1.3800699999999999</v>
      </c>
      <c r="Q89" s="4">
        <v>0.44033299999999997</v>
      </c>
      <c r="R89" s="4">
        <v>0.73695699999999997</v>
      </c>
      <c r="S89" s="4">
        <v>-1.6578280000000001</v>
      </c>
      <c r="T89" s="4">
        <v>-0.93277399999999999</v>
      </c>
    </row>
    <row r="90" spans="1:20" ht="18">
      <c r="A90" s="2">
        <f t="shared" si="97"/>
        <v>89</v>
      </c>
      <c r="B90" s="9" t="s">
        <v>958</v>
      </c>
      <c r="C90" s="9"/>
      <c r="D90" s="9"/>
      <c r="E90" s="9"/>
      <c r="F90" s="9"/>
      <c r="G90" s="9"/>
      <c r="I90" s="15" t="s">
        <v>111</v>
      </c>
      <c r="J90" s="15">
        <v>88</v>
      </c>
      <c r="K90" s="4">
        <v>0.62601399999999996</v>
      </c>
      <c r="L90" s="4">
        <v>-2.7299579999999999</v>
      </c>
      <c r="M90" s="4">
        <v>1.307064</v>
      </c>
      <c r="N90" s="4">
        <v>-1.0990180000000001</v>
      </c>
      <c r="O90" s="4">
        <v>-1.747193</v>
      </c>
      <c r="P90" s="4">
        <v>-8.9534000000000002E-2</v>
      </c>
      <c r="Q90" s="4">
        <v>0.54665200000000003</v>
      </c>
      <c r="R90" s="4">
        <v>1.4145730000000001</v>
      </c>
      <c r="S90" s="4">
        <v>-0.81295700000000004</v>
      </c>
      <c r="T90" s="4">
        <v>-1.4376389999999999</v>
      </c>
    </row>
    <row r="91" spans="1:20" ht="18">
      <c r="A91" s="2">
        <f t="shared" si="97"/>
        <v>90</v>
      </c>
      <c r="B91" s="9" t="s">
        <v>959</v>
      </c>
      <c r="C91" s="9"/>
      <c r="D91" s="9"/>
      <c r="E91" s="9"/>
      <c r="F91" s="9"/>
      <c r="G91" s="9"/>
      <c r="I91" s="15" t="s">
        <v>112</v>
      </c>
      <c r="J91" s="15">
        <v>89</v>
      </c>
      <c r="K91" s="4">
        <v>-0.12925600000000001</v>
      </c>
      <c r="L91" s="4">
        <v>-8.0546999999999994E-2</v>
      </c>
      <c r="M91" s="4">
        <v>0.30614200000000003</v>
      </c>
      <c r="N91" s="4">
        <v>-1.655769</v>
      </c>
      <c r="O91" s="4">
        <v>0.85691099999999998</v>
      </c>
      <c r="P91" s="4">
        <v>0.23991100000000001</v>
      </c>
      <c r="Q91" s="4">
        <v>-0.76358800000000004</v>
      </c>
      <c r="R91" s="4">
        <v>-1.454833</v>
      </c>
      <c r="S91" s="4">
        <v>-0.38673600000000002</v>
      </c>
      <c r="T91" s="4">
        <v>-1.302071</v>
      </c>
    </row>
    <row r="92" spans="1:20" ht="18">
      <c r="A92" s="2">
        <f t="shared" si="97"/>
        <v>91</v>
      </c>
      <c r="B92" s="9" t="s">
        <v>960</v>
      </c>
      <c r="C92" s="9"/>
      <c r="D92" s="9"/>
      <c r="E92" s="9"/>
      <c r="F92" s="9"/>
      <c r="G92" s="9"/>
      <c r="I92" s="15" t="s">
        <v>113</v>
      </c>
      <c r="J92" s="15">
        <v>90</v>
      </c>
      <c r="K92" s="4">
        <v>-0.58752400000000005</v>
      </c>
      <c r="L92" s="4">
        <v>0.25536599999999998</v>
      </c>
      <c r="M92" s="4">
        <v>-0.40065099999999998</v>
      </c>
      <c r="N92" s="4">
        <v>-0.49463200000000002</v>
      </c>
      <c r="O92" s="4">
        <v>0.82452999999999999</v>
      </c>
      <c r="P92" s="4">
        <v>-2.664561</v>
      </c>
      <c r="Q92" s="4">
        <v>0.20909900000000001</v>
      </c>
      <c r="R92" s="4">
        <v>-0.56193099999999996</v>
      </c>
      <c r="S92" s="4">
        <v>-1.1148999999999999E-2</v>
      </c>
      <c r="T92" s="4">
        <v>-0.18299199999999999</v>
      </c>
    </row>
    <row r="93" spans="1:20" ht="18">
      <c r="A93" s="2">
        <f t="shared" si="97"/>
        <v>92</v>
      </c>
      <c r="B93" s="9" t="s">
        <v>961</v>
      </c>
      <c r="C93" s="9"/>
      <c r="D93" s="9"/>
      <c r="E93" s="9"/>
      <c r="F93" s="9"/>
      <c r="G93" s="9"/>
      <c r="I93" s="15" t="s">
        <v>114</v>
      </c>
      <c r="J93" s="15">
        <v>91</v>
      </c>
      <c r="K93" s="4">
        <v>-1.1579440000000001</v>
      </c>
      <c r="L93" s="4">
        <v>0.92240900000000003</v>
      </c>
      <c r="M93" s="4">
        <v>-0.21845100000000001</v>
      </c>
      <c r="N93" s="4">
        <v>-1.578411</v>
      </c>
      <c r="O93" s="4">
        <v>-0.39196700000000001</v>
      </c>
      <c r="P93" s="4">
        <v>-1.447651</v>
      </c>
      <c r="Q93" s="4">
        <v>0.571523</v>
      </c>
      <c r="R93" s="4">
        <v>0.95345800000000003</v>
      </c>
      <c r="S93" s="4">
        <v>-1.8349040000000001</v>
      </c>
      <c r="T93" s="4">
        <v>1.372204</v>
      </c>
    </row>
    <row r="94" spans="1:20" ht="18">
      <c r="A94" s="2">
        <f t="shared" si="97"/>
        <v>93</v>
      </c>
      <c r="B94" s="9" t="s">
        <v>962</v>
      </c>
      <c r="C94" s="9"/>
      <c r="D94" s="9"/>
      <c r="E94" s="9"/>
      <c r="F94" s="9"/>
      <c r="G94" s="9"/>
      <c r="I94" s="15" t="s">
        <v>115</v>
      </c>
      <c r="J94" s="15">
        <v>92</v>
      </c>
      <c r="K94" s="4">
        <v>-0.60068100000000002</v>
      </c>
      <c r="L94" s="4">
        <v>-1.1174310000000001</v>
      </c>
      <c r="M94" s="4">
        <v>-0.69617499999999999</v>
      </c>
      <c r="N94" s="4">
        <v>0.238924</v>
      </c>
      <c r="O94" s="4">
        <v>0.71978200000000003</v>
      </c>
      <c r="P94" s="4">
        <v>1.871939</v>
      </c>
      <c r="Q94" s="4">
        <v>-1.125373</v>
      </c>
      <c r="R94" s="4">
        <v>-0.248055</v>
      </c>
      <c r="S94" s="4">
        <v>0.35733100000000001</v>
      </c>
      <c r="T94" s="4">
        <v>0.30751899999999999</v>
      </c>
    </row>
    <row r="95" spans="1:20" ht="18">
      <c r="A95" s="2">
        <f t="shared" si="97"/>
        <v>94</v>
      </c>
      <c r="B95" s="9" t="s">
        <v>963</v>
      </c>
      <c r="C95" s="9"/>
      <c r="D95" s="9"/>
      <c r="E95" s="9"/>
      <c r="F95" s="9"/>
      <c r="G95" s="9"/>
      <c r="I95" s="15" t="s">
        <v>116</v>
      </c>
      <c r="J95" s="15">
        <v>93</v>
      </c>
      <c r="K95" s="4">
        <v>-0.41954599999999997</v>
      </c>
      <c r="L95" s="4">
        <v>6.9142999999999996E-2</v>
      </c>
      <c r="M95" s="4">
        <v>-0.75607400000000002</v>
      </c>
      <c r="N95" s="4">
        <v>-8.4090999999999999E-2</v>
      </c>
      <c r="O95" s="4">
        <v>0.203042</v>
      </c>
      <c r="P95" s="4">
        <v>7.7445E-2</v>
      </c>
      <c r="Q95" s="4">
        <v>-0.62567499999999998</v>
      </c>
      <c r="R95" s="4">
        <v>0.22989599999999999</v>
      </c>
      <c r="S95" s="4">
        <v>2.22621</v>
      </c>
      <c r="T95" s="4">
        <v>0.336563</v>
      </c>
    </row>
    <row r="96" spans="1:20" ht="18">
      <c r="A96" s="2">
        <f t="shared" si="97"/>
        <v>95</v>
      </c>
      <c r="B96" s="9" t="s">
        <v>964</v>
      </c>
      <c r="C96" s="9"/>
      <c r="D96" s="9"/>
      <c r="E96" s="9"/>
      <c r="F96" s="9"/>
      <c r="G96" s="9"/>
      <c r="I96" s="15" t="s">
        <v>117</v>
      </c>
      <c r="J96" s="15">
        <v>94</v>
      </c>
      <c r="K96" s="4">
        <v>0.67518500000000004</v>
      </c>
      <c r="L96" s="4">
        <v>-0.16974800000000001</v>
      </c>
      <c r="M96" s="4">
        <v>-0.86011700000000002</v>
      </c>
      <c r="N96" s="4">
        <v>6.3425999999999996E-2</v>
      </c>
      <c r="O96" s="4">
        <v>0.13958200000000001</v>
      </c>
      <c r="P96" s="4">
        <v>-0.47121099999999999</v>
      </c>
      <c r="Q96" s="4">
        <v>-2.3449900000000001</v>
      </c>
      <c r="R96" s="4">
        <v>-1.1684760000000001</v>
      </c>
      <c r="S96" s="4">
        <v>1.6817230000000001</v>
      </c>
      <c r="T96" s="4">
        <v>0.24846299999999999</v>
      </c>
    </row>
    <row r="97" spans="1:20" ht="18">
      <c r="A97" s="2">
        <f t="shared" si="97"/>
        <v>96</v>
      </c>
      <c r="B97" s="9" t="s">
        <v>965</v>
      </c>
      <c r="C97" s="9"/>
      <c r="D97" s="9"/>
      <c r="E97" s="9"/>
      <c r="F97" s="9"/>
      <c r="G97" s="9"/>
      <c r="I97" s="15" t="s">
        <v>118</v>
      </c>
      <c r="J97" s="15">
        <v>95</v>
      </c>
      <c r="K97" s="4">
        <v>0.34693200000000002</v>
      </c>
      <c r="L97" s="4">
        <v>-0.198216</v>
      </c>
      <c r="M97" s="4">
        <v>-0.31435600000000002</v>
      </c>
      <c r="N97" s="4">
        <v>1.677063</v>
      </c>
      <c r="O97" s="4">
        <v>-0.55375600000000003</v>
      </c>
      <c r="P97" s="4">
        <v>-0.66694100000000001</v>
      </c>
      <c r="Q97" s="4">
        <v>-4.8752999999999998E-2</v>
      </c>
      <c r="R97" s="4">
        <v>1.097091</v>
      </c>
      <c r="S97" s="4">
        <v>-3.5869999999999999E-3</v>
      </c>
      <c r="T97" s="4">
        <v>1.236688</v>
      </c>
    </row>
    <row r="98" spans="1:20" ht="18">
      <c r="A98" s="2">
        <f t="shared" si="97"/>
        <v>97</v>
      </c>
      <c r="B98" s="9" t="s">
        <v>966</v>
      </c>
      <c r="C98" s="9"/>
      <c r="D98" s="9"/>
      <c r="E98" s="9"/>
      <c r="F98" s="9"/>
      <c r="G98" s="9"/>
      <c r="I98" s="15" t="s">
        <v>119</v>
      </c>
      <c r="J98" s="15">
        <v>96</v>
      </c>
      <c r="K98" s="4">
        <v>-2.382447</v>
      </c>
      <c r="L98" s="4">
        <v>-0.173847</v>
      </c>
      <c r="M98" s="4">
        <v>-0.94381700000000002</v>
      </c>
      <c r="N98" s="4">
        <v>3.6791999999999998E-2</v>
      </c>
      <c r="O98" s="4">
        <v>-1.076403</v>
      </c>
      <c r="P98" s="4">
        <v>-0.66556999999999999</v>
      </c>
      <c r="Q98" s="4">
        <v>0.45358199999999999</v>
      </c>
      <c r="R98" s="4">
        <v>-0.57953699999999997</v>
      </c>
      <c r="S98" s="4">
        <v>0.173952</v>
      </c>
      <c r="T98" s="4">
        <v>0.78926700000000005</v>
      </c>
    </row>
    <row r="99" spans="1:20" ht="18">
      <c r="A99" s="2">
        <f t="shared" si="97"/>
        <v>98</v>
      </c>
      <c r="B99" s="9" t="s">
        <v>967</v>
      </c>
      <c r="C99" s="9"/>
      <c r="D99" s="9"/>
      <c r="E99" s="9"/>
      <c r="F99" s="9"/>
      <c r="G99" s="9"/>
      <c r="I99" s="15" t="s">
        <v>120</v>
      </c>
      <c r="J99" s="15">
        <v>97</v>
      </c>
      <c r="K99" s="4">
        <v>-0.74389799999999995</v>
      </c>
      <c r="L99" s="4">
        <v>0.136795</v>
      </c>
      <c r="M99" s="4">
        <v>-0.37021300000000001</v>
      </c>
      <c r="N99" s="4">
        <v>-0.20641999999999999</v>
      </c>
      <c r="O99" s="4">
        <v>-1.0161169999999999</v>
      </c>
      <c r="P99" s="4">
        <v>-1.8519159999999999</v>
      </c>
      <c r="Q99" s="4">
        <v>-1.1169359999999999</v>
      </c>
      <c r="R99" s="4">
        <v>-1.333825</v>
      </c>
      <c r="S99" s="4">
        <v>-0.350906</v>
      </c>
      <c r="T99" s="4">
        <v>-0.26098300000000002</v>
      </c>
    </row>
    <row r="100" spans="1:20" ht="18">
      <c r="A100" s="2">
        <f t="shared" si="97"/>
        <v>99</v>
      </c>
      <c r="B100" s="9" t="s">
        <v>968</v>
      </c>
      <c r="C100" s="9"/>
      <c r="D100" s="9"/>
      <c r="E100" s="9"/>
      <c r="F100" s="9"/>
      <c r="G100" s="9"/>
      <c r="I100" s="15" t="s">
        <v>121</v>
      </c>
      <c r="J100" s="15">
        <v>98</v>
      </c>
      <c r="K100" s="4">
        <v>-1.211856</v>
      </c>
      <c r="L100" s="4">
        <v>-2.5389119999999998</v>
      </c>
      <c r="M100" s="4">
        <v>-0.93717700000000004</v>
      </c>
      <c r="N100" s="4">
        <v>-0.34785500000000003</v>
      </c>
      <c r="O100" s="4">
        <v>0.35311599999999999</v>
      </c>
      <c r="P100" s="4">
        <v>1.63714</v>
      </c>
      <c r="Q100" s="4">
        <v>0.21414800000000001</v>
      </c>
      <c r="R100" s="4">
        <v>0.55598599999999998</v>
      </c>
      <c r="S100" s="4">
        <v>-1.767331</v>
      </c>
      <c r="T100" s="4">
        <v>-0.48233300000000001</v>
      </c>
    </row>
    <row r="101" spans="1:20" ht="18">
      <c r="A101" s="2">
        <f t="shared" si="97"/>
        <v>100</v>
      </c>
      <c r="B101" s="9" t="s">
        <v>969</v>
      </c>
      <c r="C101" s="9"/>
      <c r="D101" s="9"/>
      <c r="E101" s="9"/>
      <c r="F101" s="9"/>
      <c r="G101" s="9"/>
      <c r="I101" s="15" t="s">
        <v>122</v>
      </c>
      <c r="J101" s="15">
        <v>99</v>
      </c>
      <c r="K101" s="4">
        <v>-0.114387</v>
      </c>
      <c r="L101" s="4">
        <v>2.033204</v>
      </c>
      <c r="M101" s="4">
        <v>-8.4930000000000005E-2</v>
      </c>
      <c r="N101" s="4">
        <v>0.26997500000000002</v>
      </c>
      <c r="O101" s="4">
        <v>0.58437799999999995</v>
      </c>
      <c r="P101" s="4">
        <v>1.8712819999999999</v>
      </c>
      <c r="Q101" s="4">
        <v>0.48678399999999999</v>
      </c>
      <c r="R101" s="4">
        <v>0.17002</v>
      </c>
      <c r="S101" s="4">
        <v>-1.295255</v>
      </c>
      <c r="T101" s="4">
        <v>1.6542999999999999E-2</v>
      </c>
    </row>
    <row r="102" spans="1:20" ht="18">
      <c r="A102" s="2">
        <f t="shared" si="97"/>
        <v>101</v>
      </c>
      <c r="B102" s="7" t="s">
        <v>970</v>
      </c>
      <c r="I102" s="15" t="s">
        <v>123</v>
      </c>
      <c r="J102" s="15">
        <v>100</v>
      </c>
      <c r="K102" s="4">
        <v>2.0133489999999998</v>
      </c>
      <c r="L102" s="4">
        <v>-0.417325</v>
      </c>
      <c r="M102" s="4">
        <v>-1.2253229999999999</v>
      </c>
      <c r="N102" s="4">
        <v>-0.39812999999999998</v>
      </c>
      <c r="O102" s="4">
        <v>-0.15370500000000001</v>
      </c>
      <c r="P102" s="4">
        <v>-8.5971000000000006E-2</v>
      </c>
      <c r="Q102" s="4">
        <v>-0.75690199999999996</v>
      </c>
      <c r="R102" s="4">
        <v>-0.20066200000000001</v>
      </c>
      <c r="S102" s="4">
        <v>-0.95895699999999995</v>
      </c>
      <c r="T102" s="4">
        <v>5.2217E-2</v>
      </c>
    </row>
    <row r="103" spans="1:20" ht="18">
      <c r="A103" s="2">
        <f t="shared" si="97"/>
        <v>102</v>
      </c>
      <c r="B103" s="7" t="s">
        <v>971</v>
      </c>
      <c r="I103" s="15" t="s">
        <v>124</v>
      </c>
      <c r="J103" s="15">
        <v>101</v>
      </c>
      <c r="K103" s="4">
        <v>1.682491</v>
      </c>
      <c r="L103" s="4">
        <v>0.31022499999999997</v>
      </c>
      <c r="M103" s="4">
        <v>-0.607178</v>
      </c>
      <c r="N103" s="4">
        <v>-0.65307199999999999</v>
      </c>
      <c r="O103" s="4">
        <v>1.4630890000000001</v>
      </c>
      <c r="P103" s="4">
        <v>-1.3376779999999999</v>
      </c>
      <c r="Q103" s="4">
        <v>0.57275399999999999</v>
      </c>
      <c r="R103" s="4">
        <v>2.0350809999999999</v>
      </c>
      <c r="S103" s="4">
        <v>-1.2122189999999999</v>
      </c>
      <c r="T103" s="4">
        <v>-0.144286</v>
      </c>
    </row>
    <row r="104" spans="1:20" ht="18">
      <c r="A104" s="2">
        <f t="shared" si="97"/>
        <v>103</v>
      </c>
      <c r="B104" s="7" t="s">
        <v>972</v>
      </c>
      <c r="I104" s="15" t="s">
        <v>125</v>
      </c>
      <c r="J104" s="15">
        <v>102</v>
      </c>
      <c r="K104" s="4">
        <v>2.6589140000000002</v>
      </c>
      <c r="L104" s="4">
        <v>-1.623146</v>
      </c>
      <c r="M104" s="4">
        <v>-0.90380499999999997</v>
      </c>
      <c r="N104" s="4">
        <v>-0.36616799999999999</v>
      </c>
      <c r="O104" s="4">
        <v>0.46731600000000001</v>
      </c>
      <c r="P104" s="4">
        <v>0.79169100000000003</v>
      </c>
      <c r="Q104" s="4">
        <v>-0.17650399999999999</v>
      </c>
      <c r="R104" s="4">
        <v>-2.91751</v>
      </c>
      <c r="S104" s="4">
        <v>-2.7614E-2</v>
      </c>
      <c r="T104" s="4">
        <v>-0.124808</v>
      </c>
    </row>
    <row r="105" spans="1:20" ht="18">
      <c r="A105" s="2">
        <f t="shared" si="97"/>
        <v>104</v>
      </c>
      <c r="B105" s="7" t="s">
        <v>973</v>
      </c>
      <c r="I105" s="15" t="s">
        <v>126</v>
      </c>
      <c r="J105" s="15">
        <v>103</v>
      </c>
      <c r="K105" s="4">
        <v>5.1098999999999999E-2</v>
      </c>
      <c r="L105" s="4">
        <v>-0.21884999999999999</v>
      </c>
      <c r="M105" s="4">
        <v>-0.60741800000000001</v>
      </c>
      <c r="N105" s="4">
        <v>0.43973800000000002</v>
      </c>
      <c r="O105" s="4">
        <v>-0.47860999999999998</v>
      </c>
      <c r="P105" s="4">
        <v>-0.18121699999999999</v>
      </c>
      <c r="Q105" s="4">
        <v>-0.89373599999999997</v>
      </c>
      <c r="R105" s="4">
        <v>1.3592949999999999</v>
      </c>
      <c r="S105" s="4">
        <v>0.395783</v>
      </c>
      <c r="T105" s="4">
        <v>1.1483749999999999</v>
      </c>
    </row>
    <row r="106" spans="1:20" ht="18">
      <c r="A106" s="2">
        <f t="shared" si="97"/>
        <v>105</v>
      </c>
      <c r="B106" s="7" t="s">
        <v>974</v>
      </c>
      <c r="I106" s="15" t="s">
        <v>127</v>
      </c>
      <c r="J106" s="15">
        <v>104</v>
      </c>
      <c r="K106" s="4">
        <v>-0.165385</v>
      </c>
      <c r="L106" s="4">
        <v>-2.9571E-2</v>
      </c>
      <c r="M106" s="4">
        <v>-0.51665799999999995</v>
      </c>
      <c r="N106" s="4">
        <v>-0.491896</v>
      </c>
      <c r="O106" s="4">
        <v>-0.300313</v>
      </c>
      <c r="P106" s="4">
        <v>-0.50781399999999999</v>
      </c>
      <c r="Q106" s="4">
        <v>-0.16322500000000001</v>
      </c>
      <c r="R106" s="4">
        <v>-0.92827599999999999</v>
      </c>
      <c r="S106" s="4">
        <v>0.84876399999999996</v>
      </c>
      <c r="T106" s="4">
        <v>2.0515439999999998</v>
      </c>
    </row>
    <row r="107" spans="1:20" ht="18">
      <c r="A107" s="2">
        <f t="shared" si="97"/>
        <v>106</v>
      </c>
      <c r="B107" s="7" t="s">
        <v>975</v>
      </c>
      <c r="I107" s="15" t="s">
        <v>128</v>
      </c>
      <c r="J107" s="15">
        <v>105</v>
      </c>
      <c r="K107" s="4">
        <v>-1.3468560000000001</v>
      </c>
      <c r="L107" s="4">
        <v>-0.81293199999999999</v>
      </c>
      <c r="M107" s="4">
        <v>0.42331800000000003</v>
      </c>
      <c r="N107" s="4">
        <v>-1.4408049999999999</v>
      </c>
      <c r="O107" s="4">
        <v>1.3349420000000001</v>
      </c>
      <c r="P107" s="4">
        <v>0.37280999999999997</v>
      </c>
      <c r="Q107" s="4">
        <v>-1.220939</v>
      </c>
      <c r="R107" s="4">
        <v>1.057142</v>
      </c>
      <c r="S107" s="4">
        <v>2.095478</v>
      </c>
      <c r="T107" s="4">
        <v>0.34573999999999999</v>
      </c>
    </row>
    <row r="108" spans="1:20" ht="18">
      <c r="A108" s="2">
        <f t="shared" si="97"/>
        <v>107</v>
      </c>
      <c r="B108" s="7" t="s">
        <v>976</v>
      </c>
      <c r="I108" s="15" t="s">
        <v>129</v>
      </c>
      <c r="J108" s="15">
        <v>106</v>
      </c>
      <c r="K108" s="4">
        <v>2.48881</v>
      </c>
      <c r="L108" s="4">
        <v>0.86499199999999998</v>
      </c>
      <c r="M108" s="4">
        <v>-0.177289</v>
      </c>
      <c r="N108" s="4">
        <v>-1.3348150000000001</v>
      </c>
      <c r="O108" s="4">
        <v>-0.41810399999999998</v>
      </c>
      <c r="P108" s="4">
        <v>-0.31117699999999998</v>
      </c>
      <c r="Q108" s="4">
        <v>-1.105399</v>
      </c>
      <c r="R108" s="4">
        <v>0.51858099999999996</v>
      </c>
      <c r="S108" s="4">
        <v>-0.77078999999999998</v>
      </c>
      <c r="T108" s="4">
        <v>-0.55026699999999995</v>
      </c>
    </row>
    <row r="109" spans="1:20" ht="18">
      <c r="A109" s="2">
        <f t="shared" si="97"/>
        <v>108</v>
      </c>
      <c r="B109" s="7" t="s">
        <v>977</v>
      </c>
      <c r="I109" s="15" t="s">
        <v>130</v>
      </c>
      <c r="J109" s="15">
        <v>107</v>
      </c>
      <c r="K109" s="4">
        <v>-0.53665700000000005</v>
      </c>
      <c r="L109" s="4">
        <v>-4.6316999999999997E-2</v>
      </c>
      <c r="M109" s="4">
        <v>-3.133778</v>
      </c>
      <c r="N109" s="4">
        <v>0.462841</v>
      </c>
      <c r="O109" s="4">
        <v>0.64881800000000001</v>
      </c>
      <c r="P109" s="4">
        <v>0.97700699999999996</v>
      </c>
      <c r="Q109" s="4">
        <v>-1.2875650000000001</v>
      </c>
      <c r="R109" s="4">
        <v>1.032089</v>
      </c>
      <c r="S109" s="4">
        <v>0.54969400000000002</v>
      </c>
      <c r="T109" s="4">
        <v>0.28216000000000002</v>
      </c>
    </row>
    <row r="110" spans="1:20" ht="18">
      <c r="A110" s="2">
        <f t="shared" si="97"/>
        <v>109</v>
      </c>
      <c r="B110" s="7" t="s">
        <v>978</v>
      </c>
      <c r="I110" s="15" t="s">
        <v>131</v>
      </c>
      <c r="J110" s="15">
        <v>108</v>
      </c>
      <c r="K110" s="4">
        <v>-1.1932069999999999</v>
      </c>
      <c r="L110" s="4">
        <v>-1.0700229999999999</v>
      </c>
      <c r="M110" s="4">
        <v>-0.86842799999999998</v>
      </c>
      <c r="N110" s="4">
        <v>-0.55260500000000001</v>
      </c>
      <c r="O110" s="4">
        <v>-0.31799699999999997</v>
      </c>
      <c r="P110" s="4">
        <v>9.2060000000000006E-3</v>
      </c>
      <c r="Q110" s="4">
        <v>0.83718999999999999</v>
      </c>
      <c r="R110" s="4">
        <v>0.56908300000000001</v>
      </c>
      <c r="S110" s="4">
        <v>1.001169</v>
      </c>
      <c r="T110" s="4">
        <v>-0.29171200000000003</v>
      </c>
    </row>
    <row r="111" spans="1:20" ht="18">
      <c r="A111" s="2">
        <f t="shared" si="97"/>
        <v>110</v>
      </c>
      <c r="B111" s="7" t="s">
        <v>979</v>
      </c>
      <c r="I111" s="15" t="s">
        <v>132</v>
      </c>
      <c r="J111" s="15">
        <v>109</v>
      </c>
      <c r="K111" s="4">
        <v>-0.31403300000000001</v>
      </c>
      <c r="L111" s="4">
        <v>-0.17096600000000001</v>
      </c>
      <c r="M111" s="4">
        <v>-0.10101499999999999</v>
      </c>
      <c r="N111" s="4">
        <v>4.6785E-2</v>
      </c>
      <c r="O111" s="4">
        <v>-2.8604000000000001E-2</v>
      </c>
      <c r="P111" s="4">
        <v>-0.15378600000000001</v>
      </c>
      <c r="Q111" s="4">
        <v>-0.24812500000000001</v>
      </c>
      <c r="R111" s="4">
        <v>0.41977300000000001</v>
      </c>
      <c r="S111" s="4">
        <v>-1.736507</v>
      </c>
      <c r="T111" s="4">
        <v>-2.5546669999999998</v>
      </c>
    </row>
    <row r="112" spans="1:20" ht="18">
      <c r="A112" s="2">
        <f t="shared" si="97"/>
        <v>111</v>
      </c>
      <c r="B112" s="7" t="s">
        <v>980</v>
      </c>
      <c r="I112" s="15" t="s">
        <v>133</v>
      </c>
      <c r="J112" s="15">
        <v>110</v>
      </c>
      <c r="K112" s="4">
        <v>-2.3928000000000001E-2</v>
      </c>
      <c r="L112" s="4">
        <v>0.55094600000000005</v>
      </c>
      <c r="M112" s="4">
        <v>-0.19924600000000001</v>
      </c>
      <c r="N112" s="4">
        <v>0.36116599999999999</v>
      </c>
      <c r="O112" s="4">
        <v>-1.948509</v>
      </c>
      <c r="P112" s="4">
        <v>1.0039469999999999</v>
      </c>
      <c r="Q112" s="4">
        <v>1.3758980000000001</v>
      </c>
      <c r="R112" s="4">
        <v>2.1014699999999999</v>
      </c>
      <c r="S112" s="4">
        <v>-8.1929000000000002E-2</v>
      </c>
      <c r="T112" s="4">
        <v>-1.653454</v>
      </c>
    </row>
    <row r="113" spans="1:20" ht="18">
      <c r="A113" s="2">
        <f t="shared" si="97"/>
        <v>112</v>
      </c>
      <c r="B113" s="7" t="s">
        <v>981</v>
      </c>
      <c r="I113" s="15" t="s">
        <v>134</v>
      </c>
      <c r="J113" s="15">
        <v>111</v>
      </c>
      <c r="K113" s="4">
        <v>1.526967</v>
      </c>
      <c r="L113" s="4">
        <v>2.7917999999999998</v>
      </c>
      <c r="M113" s="4">
        <v>2.9192269999999998</v>
      </c>
      <c r="N113" s="4">
        <v>1.475927</v>
      </c>
      <c r="O113" s="4">
        <v>-0.54314799999999996</v>
      </c>
      <c r="P113" s="4">
        <v>-0.16728000000000001</v>
      </c>
      <c r="Q113" s="4">
        <v>-0.31023400000000001</v>
      </c>
      <c r="R113" s="4">
        <v>-1.2101090000000001</v>
      </c>
      <c r="S113" s="4">
        <v>-0.109415</v>
      </c>
      <c r="T113" s="4">
        <v>1.3927069999999999</v>
      </c>
    </row>
    <row r="114" spans="1:20" ht="18">
      <c r="A114" s="2">
        <f t="shared" si="97"/>
        <v>113</v>
      </c>
      <c r="B114" s="7" t="s">
        <v>982</v>
      </c>
      <c r="I114" s="15" t="s">
        <v>135</v>
      </c>
      <c r="J114" s="15">
        <v>112</v>
      </c>
      <c r="K114" s="4">
        <v>0.73717900000000003</v>
      </c>
      <c r="L114" s="4">
        <v>-0.48907099999999998</v>
      </c>
      <c r="M114" s="4">
        <v>-1.3085899999999999</v>
      </c>
      <c r="N114" s="4">
        <v>-2.359613</v>
      </c>
      <c r="O114" s="4">
        <v>0.63166199999999995</v>
      </c>
      <c r="P114" s="4">
        <v>-0.50971299999999997</v>
      </c>
      <c r="Q114" s="4">
        <v>0.10453800000000001</v>
      </c>
      <c r="R114" s="4">
        <v>-1.4399850000000001</v>
      </c>
      <c r="S114" s="4">
        <v>-8.5379999999999998E-2</v>
      </c>
      <c r="T114" s="4">
        <v>-0.89510599999999996</v>
      </c>
    </row>
    <row r="115" spans="1:20" ht="18">
      <c r="A115" s="2">
        <f t="shared" si="97"/>
        <v>114</v>
      </c>
      <c r="B115" s="7" t="s">
        <v>983</v>
      </c>
      <c r="I115" s="15" t="s">
        <v>136</v>
      </c>
      <c r="J115" s="15">
        <v>113</v>
      </c>
      <c r="K115" s="4">
        <v>3.8034999999999999E-2</v>
      </c>
      <c r="L115" s="4">
        <v>3.6400000000000002E-2</v>
      </c>
      <c r="M115" s="4">
        <v>-0.344696</v>
      </c>
      <c r="N115" s="4">
        <v>-0.95876399999999995</v>
      </c>
      <c r="O115" s="4">
        <v>0.24273400000000001</v>
      </c>
      <c r="P115" s="4">
        <v>-1.128385</v>
      </c>
      <c r="Q115" s="4">
        <v>-1.5585530000000001</v>
      </c>
      <c r="R115" s="4">
        <v>0.137404</v>
      </c>
      <c r="S115" s="4">
        <v>8.795E-2</v>
      </c>
      <c r="T115" s="4">
        <v>-0.268258</v>
      </c>
    </row>
    <row r="116" spans="1:20" ht="18">
      <c r="A116" s="2">
        <f t="shared" si="97"/>
        <v>115</v>
      </c>
      <c r="B116" s="7" t="s">
        <v>984</v>
      </c>
      <c r="I116" s="15" t="s">
        <v>137</v>
      </c>
      <c r="J116" s="15">
        <v>114</v>
      </c>
      <c r="K116" s="4">
        <v>1.493026</v>
      </c>
      <c r="L116" s="4">
        <v>-2.1967940000000001</v>
      </c>
      <c r="M116" s="4">
        <v>-0.52290000000000003</v>
      </c>
      <c r="N116" s="4">
        <v>0.81842099999999995</v>
      </c>
      <c r="O116" s="4">
        <v>-1.5696300000000001</v>
      </c>
      <c r="P116" s="4">
        <v>1.9187460000000001</v>
      </c>
      <c r="Q116" s="4">
        <v>-0.19498499999999999</v>
      </c>
      <c r="R116" s="4">
        <v>-0.42396800000000001</v>
      </c>
      <c r="S116" s="4">
        <v>-1.379135</v>
      </c>
      <c r="T116" s="4">
        <v>1.35328</v>
      </c>
    </row>
    <row r="117" spans="1:20" ht="18">
      <c r="A117" s="2">
        <f t="shared" si="97"/>
        <v>116</v>
      </c>
      <c r="B117" s="7" t="s">
        <v>985</v>
      </c>
      <c r="I117" s="15" t="s">
        <v>138</v>
      </c>
      <c r="J117" s="15">
        <v>115</v>
      </c>
      <c r="K117" s="4">
        <v>5.9734000000000002E-2</v>
      </c>
      <c r="L117" s="4">
        <v>0.83003199999999999</v>
      </c>
      <c r="M117" s="4">
        <v>-0.49205900000000002</v>
      </c>
      <c r="N117" s="4">
        <v>1.228362</v>
      </c>
      <c r="O117" s="4">
        <v>0.89342999999999995</v>
      </c>
      <c r="P117" s="4">
        <v>-0.42271300000000001</v>
      </c>
      <c r="Q117" s="4">
        <v>-2.7215090000000002</v>
      </c>
      <c r="R117" s="4">
        <v>0.55847100000000005</v>
      </c>
      <c r="S117" s="4">
        <v>-1.3841030000000001</v>
      </c>
      <c r="T117" s="4">
        <v>0.979325</v>
      </c>
    </row>
    <row r="118" spans="1:20" ht="18">
      <c r="A118" s="2">
        <f t="shared" si="97"/>
        <v>117</v>
      </c>
      <c r="B118" s="7" t="s">
        <v>986</v>
      </c>
      <c r="I118" s="15" t="s">
        <v>139</v>
      </c>
      <c r="J118" s="15">
        <v>116</v>
      </c>
      <c r="K118" s="4">
        <v>2.4019249999999999</v>
      </c>
      <c r="L118" s="4">
        <v>-1.7544360000000001</v>
      </c>
      <c r="M118" s="4">
        <v>0.50444999999999995</v>
      </c>
      <c r="N118" s="4">
        <v>0.70972500000000005</v>
      </c>
      <c r="O118" s="4">
        <v>0.54913299999999998</v>
      </c>
      <c r="P118" s="4">
        <v>-1.7353670000000001</v>
      </c>
      <c r="Q118" s="4">
        <v>0.52156100000000005</v>
      </c>
      <c r="R118" s="4">
        <v>0.37725199999999998</v>
      </c>
      <c r="S118" s="4">
        <v>0.40619100000000002</v>
      </c>
      <c r="T118" s="4">
        <v>1.2783370000000001</v>
      </c>
    </row>
    <row r="119" spans="1:20" ht="18">
      <c r="A119" s="2">
        <f t="shared" si="97"/>
        <v>118</v>
      </c>
      <c r="B119" s="7" t="s">
        <v>987</v>
      </c>
      <c r="I119" s="15" t="s">
        <v>140</v>
      </c>
      <c r="J119" s="15">
        <v>117</v>
      </c>
      <c r="K119" s="4">
        <v>-2.7330000000000002E-3</v>
      </c>
      <c r="L119" s="4">
        <v>-0.98416700000000001</v>
      </c>
      <c r="M119" s="4">
        <v>1.4462630000000001</v>
      </c>
      <c r="N119" s="4">
        <v>-0.54380799999999996</v>
      </c>
      <c r="O119" s="4">
        <v>1.130179</v>
      </c>
      <c r="P119" s="4">
        <v>0.15432999999999999</v>
      </c>
      <c r="Q119" s="4">
        <v>0.60315300000000005</v>
      </c>
      <c r="R119" s="4">
        <v>0.136598</v>
      </c>
      <c r="S119" s="4">
        <v>-1.2050350000000001</v>
      </c>
      <c r="T119" s="4">
        <v>1.2586999999999999E-2</v>
      </c>
    </row>
    <row r="120" spans="1:20" ht="18">
      <c r="A120" s="2">
        <f t="shared" si="97"/>
        <v>119</v>
      </c>
      <c r="B120" s="7" t="s">
        <v>988</v>
      </c>
      <c r="I120" s="15" t="s">
        <v>141</v>
      </c>
      <c r="J120" s="15">
        <v>118</v>
      </c>
      <c r="K120" s="4">
        <v>-1.077323</v>
      </c>
      <c r="L120" s="4">
        <v>1.5262420000000001</v>
      </c>
      <c r="M120" s="4">
        <v>0.50614199999999998</v>
      </c>
      <c r="N120" s="4">
        <v>0.72330799999999995</v>
      </c>
      <c r="O120" s="4">
        <v>-0.31196499999999999</v>
      </c>
      <c r="P120" s="4">
        <v>-0.59533000000000003</v>
      </c>
      <c r="Q120" s="4">
        <v>-0.37792500000000001</v>
      </c>
      <c r="R120" s="4">
        <v>0.91404300000000005</v>
      </c>
      <c r="S120" s="4">
        <v>1.597048</v>
      </c>
      <c r="T120" s="4">
        <v>-0.74853899999999995</v>
      </c>
    </row>
    <row r="121" spans="1:20" ht="18">
      <c r="A121" s="2">
        <f t="shared" si="97"/>
        <v>120</v>
      </c>
      <c r="B121" s="7" t="s">
        <v>989</v>
      </c>
      <c r="I121" s="15" t="s">
        <v>142</v>
      </c>
      <c r="J121" s="15">
        <v>119</v>
      </c>
      <c r="K121" s="4">
        <v>-0.39024700000000001</v>
      </c>
      <c r="L121" s="4">
        <v>1.279045</v>
      </c>
      <c r="M121" s="4">
        <v>-2.1269E-2</v>
      </c>
      <c r="N121" s="4">
        <v>-0.33560000000000001</v>
      </c>
      <c r="O121" s="4">
        <v>0.61606899999999998</v>
      </c>
      <c r="P121" s="4">
        <v>1.289326</v>
      </c>
      <c r="Q121" s="4">
        <v>0.85483100000000001</v>
      </c>
      <c r="R121" s="4">
        <v>-1.2383999999999999</v>
      </c>
      <c r="S121" s="4">
        <v>0.33856900000000001</v>
      </c>
      <c r="T121" s="4">
        <v>-0.16258800000000001</v>
      </c>
    </row>
    <row r="122" spans="1:20" ht="18">
      <c r="A122" s="2">
        <f t="shared" si="97"/>
        <v>121</v>
      </c>
      <c r="B122" s="7" t="s">
        <v>990</v>
      </c>
      <c r="I122" s="15" t="s">
        <v>143</v>
      </c>
      <c r="J122" s="15">
        <v>120</v>
      </c>
      <c r="K122" s="4">
        <v>0.90427800000000003</v>
      </c>
      <c r="L122" s="4">
        <v>-0.33866499999999999</v>
      </c>
      <c r="M122" s="4">
        <v>-3.3012E-2</v>
      </c>
      <c r="N122" s="4">
        <v>1.4462870000000001</v>
      </c>
      <c r="O122" s="4">
        <v>-1.3166549999999999</v>
      </c>
      <c r="P122" s="4">
        <v>1.3297369999999999</v>
      </c>
      <c r="Q122" s="4">
        <v>1.7878540000000001</v>
      </c>
      <c r="R122" s="4">
        <v>-3.2409119999999998</v>
      </c>
      <c r="S122" s="4">
        <v>0.51013299999999995</v>
      </c>
      <c r="T122" s="4">
        <v>-1.2804120000000001</v>
      </c>
    </row>
    <row r="123" spans="1:20" ht="18">
      <c r="A123" s="2">
        <f t="shared" si="97"/>
        <v>122</v>
      </c>
      <c r="B123" s="7" t="s">
        <v>991</v>
      </c>
      <c r="I123" s="15" t="s">
        <v>144</v>
      </c>
      <c r="J123" s="15">
        <v>121</v>
      </c>
      <c r="K123" s="4">
        <v>1.7519499999999999</v>
      </c>
      <c r="L123" s="4">
        <v>1.6928529999999999</v>
      </c>
      <c r="M123" s="4">
        <v>-0.41843200000000003</v>
      </c>
      <c r="N123" s="4">
        <v>-1.6946019999999999</v>
      </c>
      <c r="O123" s="4">
        <v>-0.69737499999999997</v>
      </c>
      <c r="P123" s="4">
        <v>0.20278299999999999</v>
      </c>
      <c r="Q123" s="4">
        <v>1.5153650000000001</v>
      </c>
      <c r="R123" s="4">
        <v>-0.48676599999999998</v>
      </c>
      <c r="S123" s="4">
        <v>-1.244173</v>
      </c>
      <c r="T123" s="4">
        <v>0.61658299999999999</v>
      </c>
    </row>
    <row r="124" spans="1:20" ht="18">
      <c r="A124" s="2">
        <f t="shared" si="97"/>
        <v>123</v>
      </c>
      <c r="B124" s="7" t="s">
        <v>992</v>
      </c>
      <c r="I124" s="15" t="s">
        <v>145</v>
      </c>
      <c r="J124" s="15">
        <v>122</v>
      </c>
      <c r="K124" s="4">
        <v>-0.68569999999999998</v>
      </c>
      <c r="L124" s="4">
        <v>0.57200700000000004</v>
      </c>
      <c r="M124" s="4">
        <v>-0.45180100000000001</v>
      </c>
      <c r="N124" s="4">
        <v>-8.2935999999999996E-2</v>
      </c>
      <c r="O124" s="4">
        <v>-0.15296499999999999</v>
      </c>
      <c r="P124" s="4">
        <v>-0.95503800000000005</v>
      </c>
      <c r="Q124" s="4">
        <v>1.2043E-2</v>
      </c>
      <c r="R124" s="4">
        <v>8.7379999999999999E-2</v>
      </c>
      <c r="S124" s="4">
        <v>5.8969000000000001E-2</v>
      </c>
      <c r="T124" s="4">
        <v>0.44042500000000001</v>
      </c>
    </row>
    <row r="125" spans="1:20" ht="18">
      <c r="A125" s="2">
        <f t="shared" si="97"/>
        <v>124</v>
      </c>
      <c r="B125" s="7" t="s">
        <v>993</v>
      </c>
      <c r="I125" s="15" t="s">
        <v>146</v>
      </c>
      <c r="J125" s="15">
        <v>123</v>
      </c>
      <c r="K125" s="4">
        <v>-0.14398</v>
      </c>
      <c r="L125" s="4">
        <v>0.58135700000000001</v>
      </c>
      <c r="M125" s="4">
        <v>0.162022</v>
      </c>
      <c r="N125" s="4">
        <v>-2.1369570000000002</v>
      </c>
      <c r="O125" s="4">
        <v>0.34740700000000002</v>
      </c>
      <c r="P125" s="4">
        <v>1.643581</v>
      </c>
      <c r="Q125" s="4">
        <v>-0.34962199999999999</v>
      </c>
      <c r="R125" s="4">
        <v>-7.9447000000000004E-2</v>
      </c>
      <c r="S125" s="4">
        <v>-0.74423700000000004</v>
      </c>
      <c r="T125" s="4">
        <v>0.41907699999999998</v>
      </c>
    </row>
    <row r="126" spans="1:20" ht="18">
      <c r="A126" s="2">
        <f t="shared" si="97"/>
        <v>125</v>
      </c>
      <c r="B126" s="7" t="s">
        <v>994</v>
      </c>
      <c r="I126" s="15" t="s">
        <v>147</v>
      </c>
      <c r="J126" s="15">
        <v>124</v>
      </c>
      <c r="K126" s="4">
        <v>-2.1147</v>
      </c>
      <c r="L126" s="4">
        <v>-0.13938600000000001</v>
      </c>
      <c r="M126" s="4">
        <v>-0.47286699999999998</v>
      </c>
      <c r="N126" s="4">
        <v>0.92041799999999996</v>
      </c>
      <c r="O126" s="4">
        <v>1.311094</v>
      </c>
      <c r="P126" s="4">
        <v>-3.1002999999999999E-2</v>
      </c>
      <c r="Q126" s="4">
        <v>0.33532400000000001</v>
      </c>
      <c r="R126" s="4">
        <v>0.60348000000000002</v>
      </c>
      <c r="S126" s="4">
        <v>1.5917779999999999</v>
      </c>
      <c r="T126" s="4">
        <v>1.39628</v>
      </c>
    </row>
    <row r="127" spans="1:20" ht="18">
      <c r="A127" s="2">
        <f t="shared" si="97"/>
        <v>126</v>
      </c>
      <c r="B127" s="7" t="s">
        <v>995</v>
      </c>
      <c r="I127" s="15" t="s">
        <v>148</v>
      </c>
      <c r="J127" s="15">
        <v>125</v>
      </c>
      <c r="K127" s="4">
        <v>0.21634</v>
      </c>
      <c r="L127" s="4">
        <v>-0.30352499999999999</v>
      </c>
      <c r="M127" s="4">
        <v>-0.70959700000000003</v>
      </c>
      <c r="N127" s="4">
        <v>0.67297099999999999</v>
      </c>
      <c r="O127" s="4">
        <v>-1.087388</v>
      </c>
      <c r="P127" s="4">
        <v>-1.9192089999999999</v>
      </c>
      <c r="Q127" s="4">
        <v>-0.66758300000000004</v>
      </c>
      <c r="R127" s="4">
        <v>2.1689569999999998</v>
      </c>
      <c r="S127" s="4">
        <v>-1.055407</v>
      </c>
      <c r="T127" s="4">
        <v>-1.8706430000000001</v>
      </c>
    </row>
    <row r="128" spans="1:20" ht="18">
      <c r="A128" s="2">
        <f t="shared" si="97"/>
        <v>127</v>
      </c>
      <c r="B128" s="7" t="s">
        <v>996</v>
      </c>
      <c r="I128" s="15" t="s">
        <v>149</v>
      </c>
      <c r="J128" s="15">
        <v>126</v>
      </c>
      <c r="K128" s="4">
        <v>0.53670899999999999</v>
      </c>
      <c r="L128" s="4">
        <v>4.2736000000000003E-2</v>
      </c>
      <c r="M128" s="4">
        <v>-0.95647000000000004</v>
      </c>
      <c r="N128" s="4">
        <v>0.232546</v>
      </c>
      <c r="O128" s="4">
        <v>0.77451599999999998</v>
      </c>
      <c r="P128" s="4">
        <v>-1.207416</v>
      </c>
      <c r="Q128" s="4">
        <v>0.10496999999999999</v>
      </c>
      <c r="R128" s="4">
        <v>0.79449099999999995</v>
      </c>
      <c r="S128" s="4">
        <v>1.0369139999999999</v>
      </c>
      <c r="T128" s="4">
        <v>0.28051999999999999</v>
      </c>
    </row>
    <row r="129" spans="1:20" ht="18">
      <c r="A129" s="2">
        <f t="shared" si="97"/>
        <v>128</v>
      </c>
      <c r="B129" s="7" t="s">
        <v>997</v>
      </c>
      <c r="I129" s="15" t="s">
        <v>150</v>
      </c>
      <c r="J129" s="15">
        <v>127</v>
      </c>
      <c r="K129" s="4">
        <v>1.483684</v>
      </c>
      <c r="L129" s="4">
        <v>-0.61924800000000002</v>
      </c>
      <c r="M129" s="4">
        <v>2.0682839999999998</v>
      </c>
      <c r="N129" s="4">
        <v>0.56377299999999997</v>
      </c>
      <c r="O129" s="4">
        <v>0.92584999999999995</v>
      </c>
      <c r="P129" s="4">
        <v>-1.3014669999999999</v>
      </c>
      <c r="Q129" s="4">
        <v>-0.15395200000000001</v>
      </c>
      <c r="R129" s="4">
        <v>0.30707699999999999</v>
      </c>
      <c r="S129" s="4">
        <v>0.730908</v>
      </c>
      <c r="T129" s="4">
        <v>0.98166299999999995</v>
      </c>
    </row>
    <row r="130" spans="1:20" ht="18">
      <c r="A130" s="2">
        <f t="shared" si="97"/>
        <v>129</v>
      </c>
      <c r="B130" s="7" t="s">
        <v>998</v>
      </c>
      <c r="I130" s="15" t="s">
        <v>151</v>
      </c>
      <c r="J130" s="15">
        <v>128</v>
      </c>
      <c r="K130" s="4">
        <v>-0.22417000000000001</v>
      </c>
      <c r="L130" s="4">
        <v>1.1460459999999999</v>
      </c>
      <c r="M130" s="4">
        <v>-1.07975</v>
      </c>
      <c r="N130" s="4">
        <v>1.295561</v>
      </c>
      <c r="O130" s="4">
        <v>-1.269765</v>
      </c>
      <c r="P130" s="4">
        <v>-0.55416600000000005</v>
      </c>
      <c r="Q130" s="4">
        <v>0.61681699999999995</v>
      </c>
      <c r="R130" s="4">
        <v>-0.77355200000000002</v>
      </c>
      <c r="S130" s="4">
        <v>0.70368200000000003</v>
      </c>
      <c r="T130" s="4">
        <v>1.879864</v>
      </c>
    </row>
    <row r="131" spans="1:20" ht="18">
      <c r="A131" s="2">
        <f t="shared" ref="A131:A194" si="98">ROW()-1</f>
        <v>130</v>
      </c>
      <c r="B131" s="7" t="s">
        <v>999</v>
      </c>
      <c r="I131" s="15" t="s">
        <v>152</v>
      </c>
      <c r="J131" s="15">
        <v>129</v>
      </c>
      <c r="K131" s="4">
        <v>-1.5048550000000001</v>
      </c>
      <c r="L131" s="4">
        <v>-0.67806299999999997</v>
      </c>
      <c r="M131" s="4">
        <v>-0.447662</v>
      </c>
      <c r="N131" s="4">
        <v>-0.22511100000000001</v>
      </c>
      <c r="O131" s="4">
        <v>-0.77042200000000005</v>
      </c>
      <c r="P131" s="4">
        <v>1.824147</v>
      </c>
      <c r="Q131" s="4">
        <v>0.15365300000000001</v>
      </c>
      <c r="R131" s="4">
        <v>1.093826</v>
      </c>
      <c r="S131" s="4">
        <v>8.1890000000000001E-3</v>
      </c>
      <c r="T131" s="4">
        <v>-1.084857</v>
      </c>
    </row>
    <row r="132" spans="1:20" ht="18">
      <c r="A132" s="2">
        <f t="shared" si="98"/>
        <v>131</v>
      </c>
      <c r="B132" s="7" t="s">
        <v>1000</v>
      </c>
      <c r="I132" s="15" t="s">
        <v>153</v>
      </c>
      <c r="J132" s="15">
        <v>130</v>
      </c>
      <c r="K132" s="4">
        <v>0.348804</v>
      </c>
      <c r="L132" s="4">
        <v>1.9134370000000001</v>
      </c>
      <c r="M132" s="4">
        <v>-1.9042E-2</v>
      </c>
      <c r="N132" s="4">
        <v>-1.6225590000000001</v>
      </c>
      <c r="O132" s="4">
        <v>0.60842799999999997</v>
      </c>
      <c r="P132" s="4">
        <v>0.554535</v>
      </c>
      <c r="Q132" s="4">
        <v>0.38688299999999998</v>
      </c>
      <c r="R132" s="4">
        <v>0.85026299999999999</v>
      </c>
      <c r="S132" s="4">
        <v>-0.27757999999999999</v>
      </c>
      <c r="T132" s="4">
        <v>1.4386190000000001</v>
      </c>
    </row>
    <row r="133" spans="1:20" ht="18">
      <c r="A133" s="2">
        <f t="shared" si="98"/>
        <v>132</v>
      </c>
      <c r="B133" s="7" t="s">
        <v>1001</v>
      </c>
      <c r="I133" s="15" t="s">
        <v>154</v>
      </c>
      <c r="J133" s="15">
        <v>131</v>
      </c>
      <c r="K133" s="4">
        <v>0.60970899999999995</v>
      </c>
      <c r="L133" s="4">
        <v>-1.6399729999999999</v>
      </c>
      <c r="M133" s="4">
        <v>-0.89407300000000001</v>
      </c>
      <c r="N133" s="4">
        <v>-0.33186500000000002</v>
      </c>
      <c r="O133" s="4">
        <v>-0.88434999999999997</v>
      </c>
      <c r="P133" s="4">
        <v>0.227266</v>
      </c>
      <c r="Q133" s="4">
        <v>-0.76204400000000005</v>
      </c>
      <c r="R133" s="4">
        <v>-1.5894839999999999</v>
      </c>
      <c r="S133" s="4">
        <v>-0.61729400000000001</v>
      </c>
      <c r="T133" s="4">
        <v>-0.75622699999999998</v>
      </c>
    </row>
    <row r="134" spans="1:20" ht="18">
      <c r="A134" s="2">
        <f t="shared" si="98"/>
        <v>133</v>
      </c>
      <c r="B134" s="7" t="s">
        <v>1002</v>
      </c>
      <c r="I134" s="15" t="s">
        <v>155</v>
      </c>
      <c r="J134" s="15">
        <v>132</v>
      </c>
      <c r="K134" s="4">
        <v>-1.349618</v>
      </c>
      <c r="L134" s="4">
        <v>0.74250499999999997</v>
      </c>
      <c r="M134" s="4">
        <v>2.1643560000000002</v>
      </c>
      <c r="N134" s="4">
        <v>-1.298616</v>
      </c>
      <c r="O134" s="4">
        <v>1.0820320000000001</v>
      </c>
      <c r="P134" s="4">
        <v>0.41490300000000002</v>
      </c>
      <c r="Q134" s="4">
        <v>-0.154442</v>
      </c>
      <c r="R134" s="4">
        <v>-0.244118</v>
      </c>
      <c r="S134" s="4">
        <v>0.125252</v>
      </c>
      <c r="T134" s="4">
        <v>0.97354399999999996</v>
      </c>
    </row>
    <row r="135" spans="1:20" ht="18">
      <c r="A135" s="2">
        <f t="shared" si="98"/>
        <v>134</v>
      </c>
      <c r="B135" s="7" t="s">
        <v>1003</v>
      </c>
      <c r="I135" s="15" t="s">
        <v>156</v>
      </c>
      <c r="J135" s="15">
        <v>133</v>
      </c>
      <c r="K135" s="4">
        <v>0.305253</v>
      </c>
      <c r="L135" s="4">
        <v>-0.42665799999999998</v>
      </c>
      <c r="M135" s="4">
        <v>-1.454245</v>
      </c>
      <c r="N135" s="4">
        <v>0.199598</v>
      </c>
      <c r="O135" s="4">
        <v>0.79322599999999999</v>
      </c>
      <c r="P135" s="4">
        <v>-0.72339600000000004</v>
      </c>
      <c r="Q135" s="4">
        <v>1.077296</v>
      </c>
      <c r="R135" s="4">
        <v>0.65715199999999996</v>
      </c>
      <c r="S135" s="4">
        <v>0.193771</v>
      </c>
      <c r="T135" s="4">
        <v>-0.33919100000000002</v>
      </c>
    </row>
    <row r="136" spans="1:20" ht="18">
      <c r="A136" s="2">
        <f t="shared" si="98"/>
        <v>135</v>
      </c>
      <c r="B136" s="7" t="s">
        <v>1004</v>
      </c>
      <c r="I136" s="15" t="s">
        <v>157</v>
      </c>
      <c r="J136" s="15">
        <v>134</v>
      </c>
      <c r="K136" s="4">
        <v>0.49253000000000002</v>
      </c>
      <c r="L136" s="4">
        <v>2.0888779999999998</v>
      </c>
      <c r="M136" s="4">
        <v>-0.19819999999999999</v>
      </c>
      <c r="N136" s="4">
        <v>0.49903399999999998</v>
      </c>
      <c r="O136" s="4">
        <v>-1.434677</v>
      </c>
      <c r="P136" s="4">
        <v>-4.1110179999999996</v>
      </c>
      <c r="Q136" s="4">
        <v>0.68856899999999999</v>
      </c>
      <c r="R136" s="4">
        <v>-0.54958600000000002</v>
      </c>
      <c r="S136" s="4">
        <v>0.13084100000000001</v>
      </c>
      <c r="T136" s="4">
        <v>0.475661</v>
      </c>
    </row>
    <row r="137" spans="1:20" ht="18">
      <c r="A137" s="2">
        <f t="shared" si="98"/>
        <v>136</v>
      </c>
      <c r="B137" s="7" t="s">
        <v>1005</v>
      </c>
      <c r="I137" s="15" t="s">
        <v>158</v>
      </c>
      <c r="J137" s="15">
        <v>135</v>
      </c>
      <c r="K137" s="4">
        <v>0.46521899999999999</v>
      </c>
      <c r="L137" s="4">
        <v>0.163823</v>
      </c>
      <c r="M137" s="4">
        <v>0.23732600000000001</v>
      </c>
      <c r="N137" s="4">
        <v>-0.38388100000000003</v>
      </c>
      <c r="O137" s="4">
        <v>-0.188197</v>
      </c>
      <c r="P137" s="4">
        <v>-0.84977199999999997</v>
      </c>
      <c r="Q137" s="4">
        <v>0.39338200000000001</v>
      </c>
      <c r="R137" s="4">
        <v>-1.1926159999999999</v>
      </c>
      <c r="S137" s="4">
        <v>-1.1330020000000001</v>
      </c>
      <c r="T137" s="4">
        <v>-0.30710300000000001</v>
      </c>
    </row>
    <row r="138" spans="1:20" ht="18">
      <c r="A138" s="2">
        <f t="shared" si="98"/>
        <v>137</v>
      </c>
      <c r="B138" s="7" t="s">
        <v>1006</v>
      </c>
      <c r="I138" s="15" t="s">
        <v>159</v>
      </c>
      <c r="J138" s="15">
        <v>136</v>
      </c>
      <c r="K138" s="4">
        <v>-0.34098899999999999</v>
      </c>
      <c r="L138" s="4">
        <v>-1.6450119999999999</v>
      </c>
      <c r="M138" s="4">
        <v>-0.13278000000000001</v>
      </c>
      <c r="N138" s="4">
        <v>0.88717299999999999</v>
      </c>
      <c r="O138" s="4">
        <v>-0.87748199999999998</v>
      </c>
      <c r="P138" s="4">
        <v>0.39091100000000001</v>
      </c>
      <c r="Q138" s="4">
        <v>-1.5177240000000001</v>
      </c>
      <c r="R138" s="4">
        <v>2.3749180000000001</v>
      </c>
      <c r="S138" s="4">
        <v>-0.54701999999999995</v>
      </c>
      <c r="T138" s="4">
        <v>1.1174120000000001</v>
      </c>
    </row>
    <row r="139" spans="1:20" ht="18">
      <c r="A139" s="2">
        <f t="shared" si="98"/>
        <v>138</v>
      </c>
      <c r="B139" s="7" t="s">
        <v>1007</v>
      </c>
      <c r="I139" s="15" t="s">
        <v>160</v>
      </c>
      <c r="J139" s="15">
        <v>137</v>
      </c>
      <c r="K139" s="4">
        <v>0.65529400000000004</v>
      </c>
      <c r="L139" s="4">
        <v>-1.1034360000000001</v>
      </c>
      <c r="M139" s="4">
        <v>1.630919</v>
      </c>
      <c r="N139" s="4">
        <v>-0.62962200000000001</v>
      </c>
      <c r="O139" s="4">
        <v>-0.80432700000000001</v>
      </c>
      <c r="P139" s="4">
        <v>-1.1907490000000001</v>
      </c>
      <c r="Q139" s="4">
        <v>-1.3309569999999999</v>
      </c>
      <c r="R139" s="4">
        <v>1.4219839999999999</v>
      </c>
      <c r="S139" s="4">
        <v>1.048608</v>
      </c>
      <c r="T139" s="4">
        <v>-1.2081630000000001</v>
      </c>
    </row>
    <row r="140" spans="1:20" ht="18">
      <c r="A140" s="2">
        <f t="shared" si="98"/>
        <v>139</v>
      </c>
      <c r="B140" s="7" t="s">
        <v>1008</v>
      </c>
      <c r="I140" s="15" t="s">
        <v>161</v>
      </c>
      <c r="J140" s="15">
        <v>138</v>
      </c>
      <c r="K140" s="4">
        <v>-0.100707</v>
      </c>
      <c r="L140" s="4">
        <v>-1.9105430000000001</v>
      </c>
      <c r="M140" s="4">
        <v>-0.64822599999999997</v>
      </c>
      <c r="N140" s="4">
        <v>-0.223527</v>
      </c>
      <c r="O140" s="4">
        <v>0.96024500000000002</v>
      </c>
      <c r="P140" s="4">
        <v>0.62216400000000005</v>
      </c>
      <c r="Q140" s="4">
        <v>-0.51820100000000002</v>
      </c>
      <c r="R140" s="4">
        <v>0.69274899999999995</v>
      </c>
      <c r="S140" s="4">
        <v>0.24241499999999999</v>
      </c>
      <c r="T140" s="4">
        <v>-1.2372369999999999</v>
      </c>
    </row>
    <row r="141" spans="1:20" ht="18">
      <c r="A141" s="2">
        <f t="shared" si="98"/>
        <v>140</v>
      </c>
      <c r="B141" s="7" t="s">
        <v>1009</v>
      </c>
      <c r="I141" s="15" t="s">
        <v>162</v>
      </c>
      <c r="J141" s="15">
        <v>139</v>
      </c>
      <c r="K141" s="4">
        <v>-0.41897200000000001</v>
      </c>
      <c r="L141" s="4">
        <v>-0.74943700000000002</v>
      </c>
      <c r="M141" s="4">
        <v>2.5867000000000001E-2</v>
      </c>
      <c r="N141" s="4">
        <v>0.56535000000000002</v>
      </c>
      <c r="O141" s="4">
        <v>0.50573800000000002</v>
      </c>
      <c r="P141" s="4">
        <v>1.243822</v>
      </c>
      <c r="Q141" s="4">
        <v>0.504077</v>
      </c>
      <c r="R141" s="4">
        <v>1.0879490000000001</v>
      </c>
      <c r="S141" s="4">
        <v>-0.77851899999999996</v>
      </c>
      <c r="T141" s="4">
        <v>-0.62311000000000005</v>
      </c>
    </row>
    <row r="142" spans="1:20" ht="18">
      <c r="A142" s="2">
        <f t="shared" si="98"/>
        <v>141</v>
      </c>
      <c r="B142" s="7" t="s">
        <v>1010</v>
      </c>
      <c r="I142" s="15" t="s">
        <v>163</v>
      </c>
      <c r="J142" s="15">
        <v>140</v>
      </c>
      <c r="K142" s="4">
        <v>0.32757199999999997</v>
      </c>
      <c r="L142" s="4">
        <v>2.1113529999999998</v>
      </c>
      <c r="M142" s="4">
        <v>-0.29421700000000001</v>
      </c>
      <c r="N142" s="4">
        <v>0.30657899999999999</v>
      </c>
      <c r="O142" s="4">
        <v>-0.41844799999999999</v>
      </c>
      <c r="P142" s="4">
        <v>6.0776999999999998E-2</v>
      </c>
      <c r="Q142" s="4">
        <v>0.22567499999999999</v>
      </c>
      <c r="R142" s="4">
        <v>-1.567329</v>
      </c>
      <c r="S142" s="4">
        <v>-0.95697500000000002</v>
      </c>
      <c r="T142" s="4">
        <v>1.209389</v>
      </c>
    </row>
    <row r="143" spans="1:20" ht="18">
      <c r="A143" s="2">
        <f t="shared" si="98"/>
        <v>142</v>
      </c>
      <c r="B143" s="7" t="s">
        <v>1011</v>
      </c>
      <c r="I143" s="15" t="s">
        <v>164</v>
      </c>
      <c r="J143" s="15">
        <v>141</v>
      </c>
      <c r="K143" s="4">
        <v>0.125139</v>
      </c>
      <c r="L143" s="4">
        <v>-2.5903510000000001</v>
      </c>
      <c r="M143" s="4">
        <v>-0.14782999999999999</v>
      </c>
      <c r="N143" s="4">
        <v>0.70812200000000003</v>
      </c>
      <c r="O143" s="4">
        <v>1.404185</v>
      </c>
      <c r="P143" s="4">
        <v>-2.6597819999999999</v>
      </c>
      <c r="Q143" s="4">
        <v>1.604141</v>
      </c>
      <c r="R143" s="4">
        <v>1.3788E-2</v>
      </c>
      <c r="S143" s="4">
        <v>-1.429514</v>
      </c>
      <c r="T143" s="4">
        <v>-1.3027420000000001</v>
      </c>
    </row>
    <row r="144" spans="1:20" ht="18">
      <c r="A144" s="2">
        <f t="shared" si="98"/>
        <v>143</v>
      </c>
      <c r="B144" s="7" t="s">
        <v>1012</v>
      </c>
      <c r="I144" s="15" t="s">
        <v>165</v>
      </c>
      <c r="J144" s="15">
        <v>142</v>
      </c>
      <c r="K144" s="4">
        <v>-0.62341400000000002</v>
      </c>
      <c r="L144" s="4">
        <v>-1.193751</v>
      </c>
      <c r="M144" s="4">
        <v>0.24599199999999999</v>
      </c>
      <c r="N144" s="4">
        <v>0.57320099999999996</v>
      </c>
      <c r="O144" s="4">
        <v>9.5744999999999997E-2</v>
      </c>
      <c r="P144" s="4">
        <v>0.94089100000000003</v>
      </c>
      <c r="Q144" s="4">
        <v>-1.4371179999999999</v>
      </c>
      <c r="R144" s="4">
        <v>-0.84021699999999999</v>
      </c>
      <c r="S144" s="4">
        <v>-2.0623749999999998</v>
      </c>
      <c r="T144" s="4">
        <v>0.70746600000000004</v>
      </c>
    </row>
    <row r="145" spans="1:20" ht="18">
      <c r="A145" s="2">
        <f t="shared" si="98"/>
        <v>144</v>
      </c>
      <c r="B145" s="7" t="s">
        <v>1013</v>
      </c>
      <c r="I145" s="15" t="s">
        <v>166</v>
      </c>
      <c r="J145" s="15">
        <v>143</v>
      </c>
      <c r="K145" s="4">
        <v>-0.80807600000000002</v>
      </c>
      <c r="L145" s="4">
        <v>-2.119443</v>
      </c>
      <c r="M145" s="4">
        <v>1.4390999999999999E-2</v>
      </c>
      <c r="N145" s="4">
        <v>-4.7889000000000001E-2</v>
      </c>
      <c r="O145" s="4">
        <v>-0.26374999999999998</v>
      </c>
      <c r="P145" s="4">
        <v>-1.2072579999999999</v>
      </c>
      <c r="Q145" s="4">
        <v>-1.5959410000000001</v>
      </c>
      <c r="R145" s="4">
        <v>-0.77755200000000002</v>
      </c>
      <c r="S145" s="4">
        <v>-1.9776739999999999</v>
      </c>
      <c r="T145" s="4">
        <v>1.5390820000000001</v>
      </c>
    </row>
    <row r="146" spans="1:20" ht="18">
      <c r="A146" s="2">
        <f t="shared" si="98"/>
        <v>145</v>
      </c>
      <c r="B146" s="7" t="s">
        <v>1014</v>
      </c>
      <c r="I146" s="15" t="s">
        <v>167</v>
      </c>
      <c r="J146" s="15">
        <v>144</v>
      </c>
      <c r="K146" s="4">
        <v>-4.6241999999999998E-2</v>
      </c>
      <c r="L146" s="4">
        <v>-1.8281810000000001</v>
      </c>
      <c r="M146" s="4">
        <v>-1.3919900000000001</v>
      </c>
      <c r="N146" s="4">
        <v>-1.3160609999999999</v>
      </c>
      <c r="O146" s="4">
        <v>-1.0102519999999999</v>
      </c>
      <c r="P146" s="4">
        <v>-1.7916999999999999E-2</v>
      </c>
      <c r="Q146" s="4">
        <v>0.217442</v>
      </c>
      <c r="R146" s="4">
        <v>0.13672799999999999</v>
      </c>
      <c r="S146" s="4">
        <v>0.10664700000000001</v>
      </c>
      <c r="T146" s="4">
        <v>-0.89267300000000005</v>
      </c>
    </row>
    <row r="147" spans="1:20" ht="18">
      <c r="A147" s="2">
        <f t="shared" si="98"/>
        <v>146</v>
      </c>
      <c r="B147" s="7" t="s">
        <v>1015</v>
      </c>
      <c r="I147" s="15" t="s">
        <v>168</v>
      </c>
      <c r="J147" s="15">
        <v>145</v>
      </c>
      <c r="K147" s="4">
        <v>-5.7828999999999998E-2</v>
      </c>
      <c r="L147" s="4">
        <v>2.425862</v>
      </c>
      <c r="M147" s="4">
        <v>0.16120799999999999</v>
      </c>
      <c r="N147" s="4">
        <v>0.27024700000000001</v>
      </c>
      <c r="O147" s="4">
        <v>0.88010200000000005</v>
      </c>
      <c r="P147" s="4">
        <v>-2.1261399999999999</v>
      </c>
      <c r="Q147" s="4">
        <v>-0.312168</v>
      </c>
      <c r="R147" s="4">
        <v>1.6708879999999999</v>
      </c>
      <c r="S147" s="4">
        <v>-0.14130400000000001</v>
      </c>
      <c r="T147" s="4">
        <v>1.141743</v>
      </c>
    </row>
    <row r="148" spans="1:20" ht="18">
      <c r="A148" s="2">
        <f t="shared" si="98"/>
        <v>147</v>
      </c>
      <c r="B148" s="7" t="s">
        <v>1016</v>
      </c>
      <c r="I148" s="15" t="s">
        <v>169</v>
      </c>
      <c r="J148" s="15">
        <v>146</v>
      </c>
      <c r="K148" s="4">
        <v>-0.27603699999999998</v>
      </c>
      <c r="L148" s="4">
        <v>-1.3014300000000001</v>
      </c>
      <c r="M148" s="4">
        <v>0.167772</v>
      </c>
      <c r="N148" s="4">
        <v>-0.500579</v>
      </c>
      <c r="O148" s="4">
        <v>0.55016900000000002</v>
      </c>
      <c r="P148" s="4">
        <v>-0.12512899999999999</v>
      </c>
      <c r="Q148" s="4">
        <v>-2.7820040000000001</v>
      </c>
      <c r="R148" s="4">
        <v>-0.95369400000000004</v>
      </c>
      <c r="S148" s="4">
        <v>0.27038000000000001</v>
      </c>
      <c r="T148" s="4">
        <v>-0.93010199999999998</v>
      </c>
    </row>
    <row r="149" spans="1:20" ht="18">
      <c r="A149" s="2">
        <f t="shared" si="98"/>
        <v>148</v>
      </c>
      <c r="B149" s="7" t="s">
        <v>1017</v>
      </c>
      <c r="I149" s="15" t="s">
        <v>170</v>
      </c>
      <c r="J149" s="15">
        <v>147</v>
      </c>
      <c r="K149" s="4">
        <v>1.1713009999999999</v>
      </c>
      <c r="L149" s="4">
        <v>-0.41708200000000001</v>
      </c>
      <c r="M149" s="4">
        <v>-1.410226</v>
      </c>
      <c r="N149" s="4">
        <v>1.944083</v>
      </c>
      <c r="O149" s="4">
        <v>-1.691195</v>
      </c>
      <c r="P149" s="4">
        <v>0.58899400000000002</v>
      </c>
      <c r="Q149" s="4">
        <v>-1.105607</v>
      </c>
      <c r="R149" s="4">
        <v>1.36429</v>
      </c>
      <c r="S149" s="4">
        <v>1.100848</v>
      </c>
      <c r="T149" s="4">
        <v>0.589646</v>
      </c>
    </row>
    <row r="150" spans="1:20" ht="18">
      <c r="A150" s="2">
        <f t="shared" si="98"/>
        <v>149</v>
      </c>
      <c r="B150" s="7" t="s">
        <v>1018</v>
      </c>
      <c r="I150" s="15" t="s">
        <v>171</v>
      </c>
      <c r="J150" s="15">
        <v>148</v>
      </c>
      <c r="K150" s="4">
        <v>1.7097180000000001</v>
      </c>
      <c r="L150" s="4">
        <v>2.3270330000000001</v>
      </c>
      <c r="M150" s="4">
        <v>0.64727999999999997</v>
      </c>
      <c r="N150" s="4">
        <v>0.22726099999999999</v>
      </c>
      <c r="O150" s="4">
        <v>1.001128</v>
      </c>
      <c r="P150" s="4">
        <v>0.46232000000000001</v>
      </c>
      <c r="Q150" s="4">
        <v>-1.013717</v>
      </c>
      <c r="R150" s="4">
        <v>0.52455399999999996</v>
      </c>
      <c r="S150" s="4">
        <v>0.95923700000000001</v>
      </c>
      <c r="T150" s="4">
        <v>-1.3736820000000001</v>
      </c>
    </row>
    <row r="151" spans="1:20" ht="18">
      <c r="A151" s="2">
        <f t="shared" si="98"/>
        <v>150</v>
      </c>
      <c r="B151" s="7" t="s">
        <v>1019</v>
      </c>
      <c r="I151" s="15" t="s">
        <v>172</v>
      </c>
      <c r="J151" s="15">
        <v>149</v>
      </c>
      <c r="K151" s="4">
        <v>0.18060999999999999</v>
      </c>
      <c r="L151" s="4">
        <v>3.3050739999999998</v>
      </c>
      <c r="M151" s="4">
        <v>-0.74889300000000003</v>
      </c>
      <c r="N151" s="4">
        <v>-0.13294800000000001</v>
      </c>
      <c r="O151" s="4">
        <v>-0.22781899999999999</v>
      </c>
      <c r="P151" s="4">
        <v>-0.86894400000000005</v>
      </c>
      <c r="Q151" s="4">
        <v>1.524875</v>
      </c>
      <c r="R151" s="4">
        <v>3.3498950000000001</v>
      </c>
      <c r="S151" s="4">
        <v>1.9624349999999999</v>
      </c>
      <c r="T151" s="4">
        <v>-0.401777</v>
      </c>
    </row>
    <row r="152" spans="1:20" ht="18">
      <c r="A152" s="2">
        <f t="shared" si="98"/>
        <v>151</v>
      </c>
      <c r="B152" s="7" t="s">
        <v>1020</v>
      </c>
      <c r="I152" s="15" t="s">
        <v>173</v>
      </c>
      <c r="J152" s="15">
        <v>150</v>
      </c>
      <c r="K152" s="4">
        <v>-0.11720899999999999</v>
      </c>
      <c r="L152" s="4">
        <v>-0.43071599999999999</v>
      </c>
      <c r="M152" s="4">
        <v>-0.21071699999999999</v>
      </c>
      <c r="N152" s="4">
        <v>1.110398</v>
      </c>
      <c r="O152" s="4">
        <v>-1.873407</v>
      </c>
      <c r="P152" s="4">
        <v>0.31984899999999999</v>
      </c>
      <c r="Q152" s="4">
        <v>0.63664100000000001</v>
      </c>
      <c r="R152" s="4">
        <v>1.3874120000000001</v>
      </c>
      <c r="S152" s="4">
        <v>0.57115400000000005</v>
      </c>
      <c r="T152" s="4">
        <v>0.21168000000000001</v>
      </c>
    </row>
    <row r="153" spans="1:20" ht="18">
      <c r="A153" s="2">
        <f t="shared" si="98"/>
        <v>152</v>
      </c>
      <c r="B153" s="7" t="s">
        <v>1021</v>
      </c>
      <c r="I153" s="15" t="s">
        <v>174</v>
      </c>
      <c r="J153" s="15">
        <v>151</v>
      </c>
      <c r="K153" s="4">
        <v>1.916363</v>
      </c>
      <c r="L153" s="4">
        <v>0.68571199999999999</v>
      </c>
      <c r="M153" s="4">
        <v>-2.0206909999999998</v>
      </c>
      <c r="N153" s="4">
        <v>1.2565660000000001</v>
      </c>
      <c r="O153" s="4">
        <v>-1.294421</v>
      </c>
      <c r="P153" s="4">
        <v>1.5503830000000001</v>
      </c>
      <c r="Q153" s="4">
        <v>0.45799600000000001</v>
      </c>
      <c r="R153" s="4">
        <v>-1.2724310000000001</v>
      </c>
      <c r="S153" s="4">
        <v>-1.223902</v>
      </c>
      <c r="T153" s="4">
        <v>0.72779899999999997</v>
      </c>
    </row>
    <row r="154" spans="1:20" ht="18">
      <c r="A154" s="2">
        <f t="shared" si="98"/>
        <v>153</v>
      </c>
      <c r="B154" s="7" t="s">
        <v>1022</v>
      </c>
      <c r="I154" s="15" t="s">
        <v>175</v>
      </c>
      <c r="J154" s="15">
        <v>152</v>
      </c>
      <c r="K154" s="4">
        <v>0.92271199999999998</v>
      </c>
      <c r="L154" s="4">
        <v>-1.244424</v>
      </c>
      <c r="M154" s="4">
        <v>-0.72148999999999996</v>
      </c>
      <c r="N154" s="4">
        <v>0.176455</v>
      </c>
      <c r="O154" s="4">
        <v>0.61597800000000003</v>
      </c>
      <c r="P154" s="4">
        <v>1.0328470000000001</v>
      </c>
      <c r="Q154" s="4">
        <v>0.74629199999999996</v>
      </c>
      <c r="R154" s="4">
        <v>-7.1734000000000006E-2</v>
      </c>
      <c r="S154" s="4">
        <v>-1.4703079999999999</v>
      </c>
      <c r="T154" s="4">
        <v>0.18718699999999999</v>
      </c>
    </row>
    <row r="155" spans="1:20" ht="18">
      <c r="A155" s="2">
        <f t="shared" si="98"/>
        <v>154</v>
      </c>
      <c r="B155" s="7" t="s">
        <v>1023</v>
      </c>
      <c r="I155" s="15" t="s">
        <v>176</v>
      </c>
      <c r="J155" s="15">
        <v>153</v>
      </c>
      <c r="K155" s="4">
        <v>-2.4087900000000002</v>
      </c>
      <c r="L155" s="4">
        <v>1.921522</v>
      </c>
      <c r="M155" s="4">
        <v>-2.7809370000000002</v>
      </c>
      <c r="N155" s="4">
        <v>-1.358724</v>
      </c>
      <c r="O155" s="4">
        <v>-0.92339099999999996</v>
      </c>
      <c r="P155" s="4">
        <v>2.1390189999999998</v>
      </c>
      <c r="Q155" s="4">
        <v>-1.1252549999999999</v>
      </c>
      <c r="R155" s="4">
        <v>6.3759999999999997E-3</v>
      </c>
      <c r="S155" s="4">
        <v>0.60451200000000005</v>
      </c>
      <c r="T155" s="4">
        <v>-1.0885089999999999</v>
      </c>
    </row>
    <row r="156" spans="1:20" ht="18">
      <c r="A156" s="2">
        <f t="shared" si="98"/>
        <v>155</v>
      </c>
      <c r="B156" s="7" t="s">
        <v>1024</v>
      </c>
      <c r="I156" s="15" t="s">
        <v>177</v>
      </c>
      <c r="J156" s="15">
        <v>154</v>
      </c>
      <c r="K156" s="4">
        <v>-0.65213100000000002</v>
      </c>
      <c r="L156" s="4">
        <v>0.34711999999999998</v>
      </c>
      <c r="M156" s="4">
        <v>-8.0079999999999998E-2</v>
      </c>
      <c r="N156" s="4">
        <v>-0.437718</v>
      </c>
      <c r="O156" s="4">
        <v>1.307704</v>
      </c>
      <c r="P156" s="4">
        <v>1.2992520000000001</v>
      </c>
      <c r="Q156" s="4">
        <v>2.4461710000000001</v>
      </c>
      <c r="R156" s="4">
        <v>0.22976199999999999</v>
      </c>
      <c r="S156" s="4">
        <v>0.55386599999999997</v>
      </c>
      <c r="T156" s="4">
        <v>3.3050000000000002E-3</v>
      </c>
    </row>
    <row r="157" spans="1:20" ht="18">
      <c r="A157" s="2">
        <f t="shared" si="98"/>
        <v>156</v>
      </c>
      <c r="B157" s="7" t="s">
        <v>1025</v>
      </c>
      <c r="I157" s="15" t="s">
        <v>178</v>
      </c>
      <c r="J157" s="15">
        <v>155</v>
      </c>
      <c r="K157" s="4">
        <v>2.1425990000000001</v>
      </c>
      <c r="L157" s="4">
        <v>-4.9736000000000002E-2</v>
      </c>
      <c r="M157" s="4">
        <v>2.0582989999999999</v>
      </c>
      <c r="N157" s="4">
        <v>1.536319</v>
      </c>
      <c r="O157" s="4">
        <v>-0.40887400000000002</v>
      </c>
      <c r="P157" s="4">
        <v>-0.49940800000000002</v>
      </c>
      <c r="Q157" s="4">
        <v>-1.686232</v>
      </c>
      <c r="R157" s="4">
        <v>-0.65451000000000004</v>
      </c>
      <c r="S157" s="4">
        <v>0.81218299999999999</v>
      </c>
      <c r="T157" s="4">
        <v>-1.609083</v>
      </c>
    </row>
    <row r="158" spans="1:20" ht="18">
      <c r="A158" s="2">
        <f t="shared" si="98"/>
        <v>157</v>
      </c>
      <c r="B158" s="7" t="s">
        <v>1026</v>
      </c>
      <c r="I158" s="15" t="s">
        <v>179</v>
      </c>
      <c r="J158" s="15">
        <v>156</v>
      </c>
      <c r="K158" s="4">
        <v>0.35977999999999999</v>
      </c>
      <c r="L158" s="4">
        <v>-1.3621989999999999</v>
      </c>
      <c r="M158" s="4">
        <v>-0.44300299999999998</v>
      </c>
      <c r="N158" s="4">
        <v>4.1582000000000001E-2</v>
      </c>
      <c r="O158" s="4">
        <v>-1.028678</v>
      </c>
      <c r="P158" s="4">
        <v>0.388992</v>
      </c>
      <c r="Q158" s="4">
        <v>-0.43426199999999998</v>
      </c>
      <c r="R158" s="4">
        <v>-0.96700399999999997</v>
      </c>
      <c r="S158" s="4">
        <v>0.66790499999999997</v>
      </c>
      <c r="T158" s="4">
        <v>0.51434999999999997</v>
      </c>
    </row>
    <row r="159" spans="1:20" ht="18">
      <c r="A159" s="2">
        <f t="shared" si="98"/>
        <v>158</v>
      </c>
      <c r="B159" s="7" t="s">
        <v>1027</v>
      </c>
      <c r="I159" s="15" t="s">
        <v>180</v>
      </c>
      <c r="J159" s="15">
        <v>157</v>
      </c>
      <c r="K159" s="4">
        <v>0.71902500000000003</v>
      </c>
      <c r="L159" s="4">
        <v>-1.5482819999999999</v>
      </c>
      <c r="M159" s="4">
        <v>0.253446</v>
      </c>
      <c r="N159" s="4">
        <v>-1.5287850000000001</v>
      </c>
      <c r="O159" s="4">
        <v>0.46991899999999998</v>
      </c>
      <c r="P159" s="4">
        <v>-0.34823999999999999</v>
      </c>
      <c r="Q159" s="4">
        <v>1.1034889999999999</v>
      </c>
      <c r="R159" s="4">
        <v>7.6677999999999996E-2</v>
      </c>
      <c r="S159" s="4">
        <v>0.228379</v>
      </c>
      <c r="T159" s="4">
        <v>0.63124499999999995</v>
      </c>
    </row>
    <row r="160" spans="1:20" ht="18">
      <c r="A160" s="2">
        <f t="shared" si="98"/>
        <v>159</v>
      </c>
      <c r="B160" s="7" t="s">
        <v>1028</v>
      </c>
      <c r="I160" s="15" t="s">
        <v>181</v>
      </c>
      <c r="J160" s="15">
        <v>158</v>
      </c>
      <c r="K160" s="4">
        <v>-0.891486</v>
      </c>
      <c r="L160" s="4">
        <v>-1.1793800000000001</v>
      </c>
      <c r="M160" s="4">
        <v>0.67860299999999996</v>
      </c>
      <c r="N160" s="4">
        <v>1.6042350000000001</v>
      </c>
      <c r="O160" s="4">
        <v>0.19265099999999999</v>
      </c>
      <c r="P160" s="4">
        <v>1.0096130000000001</v>
      </c>
      <c r="Q160" s="4">
        <v>0.82852599999999998</v>
      </c>
      <c r="R160" s="4">
        <v>-0.848244</v>
      </c>
      <c r="S160" s="4">
        <v>-1.8911439999999999</v>
      </c>
      <c r="T160" s="4">
        <v>-9.0672000000000003E-2</v>
      </c>
    </row>
    <row r="161" spans="1:20" ht="18">
      <c r="A161" s="2">
        <f t="shared" si="98"/>
        <v>160</v>
      </c>
      <c r="B161" s="7" t="s">
        <v>1029</v>
      </c>
      <c r="I161" s="15" t="s">
        <v>182</v>
      </c>
      <c r="J161" s="15">
        <v>159</v>
      </c>
      <c r="K161" s="4">
        <v>-0.24743599999999999</v>
      </c>
      <c r="L161" s="4">
        <v>0.73419500000000004</v>
      </c>
      <c r="M161" s="4">
        <v>0.75285100000000005</v>
      </c>
      <c r="N161" s="4">
        <v>-1.0063249999999999</v>
      </c>
      <c r="O161" s="4">
        <v>-1.1998899999999999</v>
      </c>
      <c r="P161" s="4">
        <v>1.096171</v>
      </c>
      <c r="Q161" s="4">
        <v>0.816415</v>
      </c>
      <c r="R161" s="4">
        <v>0.66806200000000004</v>
      </c>
      <c r="S161" s="4">
        <v>8.8374999999999995E-2</v>
      </c>
      <c r="T161" s="4">
        <v>0.32483600000000001</v>
      </c>
    </row>
    <row r="162" spans="1:20" ht="18">
      <c r="A162" s="2">
        <f t="shared" si="98"/>
        <v>161</v>
      </c>
      <c r="B162" s="7" t="s">
        <v>1030</v>
      </c>
      <c r="I162" s="15" t="s">
        <v>183</v>
      </c>
      <c r="J162" s="15">
        <v>160</v>
      </c>
      <c r="K162" s="4">
        <v>1.30583</v>
      </c>
      <c r="L162" s="4">
        <v>1.476051</v>
      </c>
      <c r="M162" s="4">
        <v>0.72263299999999997</v>
      </c>
      <c r="N162" s="4">
        <v>-1.0366880000000001</v>
      </c>
      <c r="O162" s="4">
        <v>-0.735348</v>
      </c>
      <c r="P162" s="4">
        <v>-0.545705</v>
      </c>
      <c r="Q162" s="4">
        <v>0.26533000000000001</v>
      </c>
      <c r="R162" s="4">
        <v>0.13870499999999999</v>
      </c>
      <c r="S162" s="4">
        <v>0.70408999999999999</v>
      </c>
      <c r="T162" s="4">
        <v>0.98172899999999996</v>
      </c>
    </row>
    <row r="163" spans="1:20" ht="18">
      <c r="A163" s="2">
        <f t="shared" si="98"/>
        <v>162</v>
      </c>
      <c r="B163" s="7" t="s">
        <v>1031</v>
      </c>
      <c r="I163" s="15" t="s">
        <v>184</v>
      </c>
      <c r="J163" s="15">
        <v>161</v>
      </c>
      <c r="K163" s="4">
        <v>-0.27868999999999999</v>
      </c>
      <c r="L163" s="4">
        <v>0.91835800000000001</v>
      </c>
      <c r="M163" s="4">
        <v>0.65331600000000001</v>
      </c>
      <c r="N163" s="4">
        <v>1.2504710000000001</v>
      </c>
      <c r="O163" s="4">
        <v>2.0444499999999999</v>
      </c>
      <c r="P163" s="4">
        <v>-1.3100499999999999</v>
      </c>
      <c r="Q163" s="4">
        <v>-1.3190109999999999</v>
      </c>
      <c r="R163" s="4">
        <v>0.78266199999999997</v>
      </c>
      <c r="S163" s="4">
        <v>0.25295899999999999</v>
      </c>
      <c r="T163" s="4">
        <v>-2.1451060000000002</v>
      </c>
    </row>
    <row r="164" spans="1:20" ht="18">
      <c r="A164" s="2">
        <f t="shared" si="98"/>
        <v>163</v>
      </c>
      <c r="B164" s="7" t="s">
        <v>1032</v>
      </c>
      <c r="I164" s="15" t="s">
        <v>185</v>
      </c>
      <c r="J164" s="15">
        <v>162</v>
      </c>
      <c r="K164" s="4">
        <v>0.74047700000000005</v>
      </c>
      <c r="L164" s="4">
        <v>-3.532988</v>
      </c>
      <c r="M164" s="4">
        <v>-0.21390999999999999</v>
      </c>
      <c r="N164" s="4">
        <v>-1.3791249999999999</v>
      </c>
      <c r="O164" s="4">
        <v>-0.44934299999999999</v>
      </c>
      <c r="P164" s="4">
        <v>0.38168299999999999</v>
      </c>
      <c r="Q164" s="4">
        <v>0.53279699999999997</v>
      </c>
      <c r="R164" s="4">
        <v>0.18911600000000001</v>
      </c>
      <c r="S164" s="4">
        <v>-1.7983929999999999</v>
      </c>
      <c r="T164" s="4">
        <v>-0.25375999999999999</v>
      </c>
    </row>
    <row r="165" spans="1:20" ht="18">
      <c r="A165" s="2">
        <f t="shared" si="98"/>
        <v>164</v>
      </c>
      <c r="B165" s="7" t="s">
        <v>1033</v>
      </c>
      <c r="I165" s="15" t="s">
        <v>186</v>
      </c>
      <c r="J165" s="15">
        <v>163</v>
      </c>
      <c r="K165" s="4">
        <v>-1.7859640000000001</v>
      </c>
      <c r="L165" s="4">
        <v>-5.3893000000000003E-2</v>
      </c>
      <c r="M165" s="4">
        <v>1.011388</v>
      </c>
      <c r="N165" s="4">
        <v>0.79874299999999998</v>
      </c>
      <c r="O165" s="4">
        <v>0.19404099999999999</v>
      </c>
      <c r="P165" s="4">
        <v>-1.002993</v>
      </c>
      <c r="Q165" s="4">
        <v>-0.28835100000000002</v>
      </c>
      <c r="R165" s="4">
        <v>-1.872463</v>
      </c>
      <c r="S165" s="4">
        <v>-1.442372</v>
      </c>
      <c r="T165" s="4">
        <v>0.722858</v>
      </c>
    </row>
    <row r="166" spans="1:20" ht="18">
      <c r="A166" s="2">
        <f t="shared" si="98"/>
        <v>165</v>
      </c>
      <c r="B166" s="7" t="s">
        <v>1034</v>
      </c>
      <c r="I166" s="15" t="s">
        <v>187</v>
      </c>
      <c r="J166" s="15">
        <v>164</v>
      </c>
      <c r="K166" s="4">
        <v>0.56905899999999998</v>
      </c>
      <c r="L166" s="4">
        <v>-1.0913280000000001</v>
      </c>
      <c r="M166" s="4">
        <v>1.000602</v>
      </c>
      <c r="N166" s="4">
        <v>6.8585999999999994E-2</v>
      </c>
      <c r="O166" s="4">
        <v>-0.67932599999999999</v>
      </c>
      <c r="P166" s="4">
        <v>0.38318799999999997</v>
      </c>
      <c r="Q166" s="4">
        <v>1.277466</v>
      </c>
      <c r="R166" s="4">
        <v>-1.082813</v>
      </c>
      <c r="S166" s="4">
        <v>1.645321</v>
      </c>
      <c r="T166" s="4">
        <v>3.8060999999999998E-2</v>
      </c>
    </row>
    <row r="167" spans="1:20" ht="18">
      <c r="A167" s="2">
        <f t="shared" si="98"/>
        <v>166</v>
      </c>
      <c r="B167" s="7" t="s">
        <v>1035</v>
      </c>
      <c r="I167" s="15" t="s">
        <v>188</v>
      </c>
      <c r="J167" s="15">
        <v>165</v>
      </c>
      <c r="K167" s="4">
        <v>2.1350000000000001E-2</v>
      </c>
      <c r="L167" s="4">
        <v>0.93483799999999995</v>
      </c>
      <c r="M167" s="4">
        <v>-0.47195900000000002</v>
      </c>
      <c r="N167" s="4">
        <v>-1.100279</v>
      </c>
      <c r="O167" s="4">
        <v>0.24458099999999999</v>
      </c>
      <c r="P167" s="4">
        <v>0.57980699999999996</v>
      </c>
      <c r="Q167" s="4">
        <v>-0.78853600000000001</v>
      </c>
      <c r="R167" s="4">
        <v>0.46513300000000002</v>
      </c>
      <c r="S167" s="4">
        <v>0.95225700000000002</v>
      </c>
      <c r="T167" s="4">
        <v>-0.87276200000000004</v>
      </c>
    </row>
    <row r="168" spans="1:20" ht="18">
      <c r="A168" s="2">
        <f t="shared" si="98"/>
        <v>167</v>
      </c>
      <c r="B168" s="7" t="s">
        <v>1036</v>
      </c>
      <c r="I168" s="15" t="s">
        <v>189</v>
      </c>
      <c r="J168" s="15">
        <v>166</v>
      </c>
      <c r="K168" s="4">
        <v>-1.671327</v>
      </c>
      <c r="L168" s="4">
        <v>-1.382925</v>
      </c>
      <c r="M168" s="4">
        <v>1.2423390000000001</v>
      </c>
      <c r="N168" s="4">
        <v>-2.5512E-2</v>
      </c>
      <c r="O168" s="4">
        <v>0.54363399999999995</v>
      </c>
      <c r="P168" s="4">
        <v>-4.2750000000000002E-3</v>
      </c>
      <c r="Q168" s="4">
        <v>1.316638</v>
      </c>
      <c r="R168" s="4">
        <v>-0.561199</v>
      </c>
      <c r="S168" s="4">
        <v>0.53061000000000003</v>
      </c>
      <c r="T168" s="4">
        <v>-1.5239929999999999</v>
      </c>
    </row>
    <row r="169" spans="1:20" ht="18">
      <c r="A169" s="2">
        <f t="shared" si="98"/>
        <v>168</v>
      </c>
      <c r="B169" s="7" t="s">
        <v>1037</v>
      </c>
      <c r="I169" s="15" t="s">
        <v>190</v>
      </c>
      <c r="J169" s="15">
        <v>167</v>
      </c>
      <c r="K169" s="4">
        <v>-0.81979299999999999</v>
      </c>
      <c r="L169" s="4">
        <v>-0.43456</v>
      </c>
      <c r="M169" s="4">
        <v>-1.5289299999999999</v>
      </c>
      <c r="N169" s="4">
        <v>0.78273800000000004</v>
      </c>
      <c r="O169" s="4">
        <v>1.2990079999999999</v>
      </c>
      <c r="P169" s="4">
        <v>-0.32889699999999999</v>
      </c>
      <c r="Q169" s="4">
        <v>-3.0814270000000001</v>
      </c>
      <c r="R169" s="4">
        <v>0.79059800000000002</v>
      </c>
      <c r="S169" s="4">
        <v>-7.8002000000000002E-2</v>
      </c>
      <c r="T169" s="4">
        <v>0.17957300000000001</v>
      </c>
    </row>
    <row r="170" spans="1:20" ht="18">
      <c r="A170" s="2">
        <f t="shared" si="98"/>
        <v>169</v>
      </c>
      <c r="B170" s="7" t="s">
        <v>1038</v>
      </c>
      <c r="I170" s="15" t="s">
        <v>191</v>
      </c>
      <c r="J170" s="15">
        <v>168</v>
      </c>
      <c r="K170" s="4">
        <v>-1.4084159999999999</v>
      </c>
      <c r="L170" s="4">
        <v>-2.293174</v>
      </c>
      <c r="M170" s="4">
        <v>0.91732499999999995</v>
      </c>
      <c r="N170" s="4">
        <v>0.258936</v>
      </c>
      <c r="O170" s="4">
        <v>1.9021E-2</v>
      </c>
      <c r="P170" s="4">
        <v>-1.8108820000000001</v>
      </c>
      <c r="Q170" s="4">
        <v>2.7350029999999999</v>
      </c>
      <c r="R170" s="4">
        <v>-1.07168</v>
      </c>
      <c r="S170" s="4">
        <v>-0.97735099999999997</v>
      </c>
      <c r="T170" s="4">
        <v>1.6378010000000001</v>
      </c>
    </row>
    <row r="171" spans="1:20" ht="18">
      <c r="A171" s="2">
        <f t="shared" si="98"/>
        <v>170</v>
      </c>
      <c r="B171" s="7" t="s">
        <v>1039</v>
      </c>
      <c r="I171" s="15" t="s">
        <v>192</v>
      </c>
      <c r="J171" s="15">
        <v>169</v>
      </c>
      <c r="K171" s="4">
        <v>1.685257</v>
      </c>
      <c r="L171" s="4">
        <v>-0.171178</v>
      </c>
      <c r="M171" s="4">
        <v>-3.5227000000000001E-2</v>
      </c>
      <c r="N171" s="4">
        <v>0.48317500000000002</v>
      </c>
      <c r="O171" s="4">
        <v>0.46630300000000002</v>
      </c>
      <c r="P171" s="4">
        <v>-1.1041160000000001</v>
      </c>
      <c r="Q171" s="4">
        <v>-1.1481999999999999E-2</v>
      </c>
      <c r="R171" s="4">
        <v>-0.222576</v>
      </c>
      <c r="S171" s="4">
        <v>0.86477000000000004</v>
      </c>
      <c r="T171" s="4">
        <v>0.92060600000000004</v>
      </c>
    </row>
    <row r="172" spans="1:20" ht="18">
      <c r="A172" s="2">
        <f t="shared" si="98"/>
        <v>171</v>
      </c>
      <c r="B172" s="7" t="s">
        <v>1040</v>
      </c>
      <c r="I172" s="15" t="s">
        <v>193</v>
      </c>
      <c r="J172" s="15">
        <v>170</v>
      </c>
      <c r="K172" s="4">
        <v>-1.550146</v>
      </c>
      <c r="L172" s="4">
        <v>-0.61920200000000003</v>
      </c>
      <c r="M172" s="4">
        <v>-0.64324999999999999</v>
      </c>
      <c r="N172" s="4">
        <v>4.7834000000000002E-2</v>
      </c>
      <c r="O172" s="4">
        <v>0.221523</v>
      </c>
      <c r="P172" s="4">
        <v>-1.462887</v>
      </c>
      <c r="Q172" s="4">
        <v>0.58762300000000001</v>
      </c>
      <c r="R172" s="4">
        <v>-0.19514599999999999</v>
      </c>
      <c r="S172" s="4">
        <v>-0.16722699999999999</v>
      </c>
      <c r="T172" s="4">
        <v>-0.79769699999999999</v>
      </c>
    </row>
    <row r="173" spans="1:20" ht="18">
      <c r="A173" s="2">
        <f t="shared" si="98"/>
        <v>172</v>
      </c>
      <c r="B173" s="7" t="s">
        <v>1041</v>
      </c>
      <c r="I173" s="15" t="s">
        <v>194</v>
      </c>
      <c r="J173" s="15">
        <v>171</v>
      </c>
      <c r="K173" s="4">
        <v>0.69151600000000002</v>
      </c>
      <c r="L173" s="4">
        <v>0.48959599999999998</v>
      </c>
      <c r="M173" s="4">
        <v>-4.2209999999999998E-2</v>
      </c>
      <c r="N173" s="4">
        <v>-1.1103879999999999</v>
      </c>
      <c r="O173" s="4">
        <v>-0.29255799999999998</v>
      </c>
      <c r="P173" s="4">
        <v>-3.5802E-2</v>
      </c>
      <c r="Q173" s="4">
        <v>-2.1535639999999998</v>
      </c>
      <c r="R173" s="4">
        <v>-0.391984</v>
      </c>
      <c r="S173" s="4">
        <v>0.70504199999999995</v>
      </c>
      <c r="T173" s="4">
        <v>-1.073099</v>
      </c>
    </row>
    <row r="174" spans="1:20" ht="18">
      <c r="A174" s="2">
        <f t="shared" si="98"/>
        <v>173</v>
      </c>
      <c r="B174" s="7" t="s">
        <v>1042</v>
      </c>
      <c r="I174" s="15" t="s">
        <v>195</v>
      </c>
      <c r="J174" s="15">
        <v>172</v>
      </c>
      <c r="K174" s="4">
        <v>0.69497399999999998</v>
      </c>
      <c r="L174" s="4">
        <v>0.20957899999999999</v>
      </c>
      <c r="M174" s="4">
        <v>0.41854799999999998</v>
      </c>
      <c r="N174" s="4">
        <v>-0.247085</v>
      </c>
      <c r="O174" s="4">
        <v>-1.5621959999999999</v>
      </c>
      <c r="P174" s="4">
        <v>0.681558</v>
      </c>
      <c r="Q174" s="4">
        <v>-1.1021270000000001</v>
      </c>
      <c r="R174" s="4">
        <v>-0.96407100000000001</v>
      </c>
      <c r="S174" s="4">
        <v>0.41364099999999998</v>
      </c>
      <c r="T174" s="4">
        <v>0.55363700000000005</v>
      </c>
    </row>
    <row r="175" spans="1:20" ht="18">
      <c r="A175" s="2">
        <f t="shared" si="98"/>
        <v>174</v>
      </c>
      <c r="B175" s="7" t="s">
        <v>1043</v>
      </c>
      <c r="I175" s="15" t="s">
        <v>196</v>
      </c>
      <c r="J175" s="15">
        <v>173</v>
      </c>
      <c r="K175" s="4">
        <v>0.73098700000000005</v>
      </c>
      <c r="L175" s="4">
        <v>9.5097000000000001E-2</v>
      </c>
      <c r="M175" s="4">
        <v>1.478456</v>
      </c>
      <c r="N175" s="4">
        <v>-4.463E-3</v>
      </c>
      <c r="O175" s="4">
        <v>1.0125919999999999</v>
      </c>
      <c r="P175" s="4">
        <v>-0.45274399999999998</v>
      </c>
      <c r="Q175" s="4">
        <v>3.1322890000000001</v>
      </c>
      <c r="R175" s="4">
        <v>-0.71587199999999995</v>
      </c>
      <c r="S175" s="4">
        <v>-0.229736</v>
      </c>
      <c r="T175" s="4">
        <v>-1.412863</v>
      </c>
    </row>
    <row r="176" spans="1:20" ht="18">
      <c r="A176" s="2">
        <f t="shared" si="98"/>
        <v>175</v>
      </c>
      <c r="B176" s="7" t="s">
        <v>1044</v>
      </c>
      <c r="I176" s="15" t="s">
        <v>197</v>
      </c>
      <c r="J176" s="15">
        <v>174</v>
      </c>
      <c r="K176" s="4">
        <v>2.1363349999999999</v>
      </c>
      <c r="L176" s="4">
        <v>0.508081</v>
      </c>
      <c r="M176" s="4">
        <v>0.62204300000000001</v>
      </c>
      <c r="N176" s="4">
        <v>0.481547</v>
      </c>
      <c r="O176" s="4">
        <v>1.3838600000000001</v>
      </c>
      <c r="P176" s="4">
        <v>-1.534913</v>
      </c>
      <c r="Q176" s="4">
        <v>0.67318500000000003</v>
      </c>
      <c r="R176" s="4">
        <v>0.42616900000000002</v>
      </c>
      <c r="S176" s="4">
        <v>-0.86644500000000002</v>
      </c>
      <c r="T176" s="4">
        <v>1.8585400000000001</v>
      </c>
    </row>
    <row r="177" spans="1:20" ht="18">
      <c r="A177" s="2">
        <f t="shared" si="98"/>
        <v>176</v>
      </c>
      <c r="B177" s="7" t="s">
        <v>1045</v>
      </c>
      <c r="I177" s="15" t="s">
        <v>198</v>
      </c>
      <c r="J177" s="15">
        <v>175</v>
      </c>
      <c r="K177" s="4">
        <v>-0.85008300000000003</v>
      </c>
      <c r="L177" s="4">
        <v>-1.582463</v>
      </c>
      <c r="M177" s="4">
        <v>-0.63338899999999998</v>
      </c>
      <c r="N177" s="4">
        <v>0.82119600000000004</v>
      </c>
      <c r="O177" s="4">
        <v>-0.17869199999999999</v>
      </c>
      <c r="P177" s="4">
        <v>-0.36217700000000003</v>
      </c>
      <c r="Q177" s="4">
        <v>-1.240783</v>
      </c>
      <c r="R177" s="4">
        <v>1.0434369999999999</v>
      </c>
      <c r="S177" s="4">
        <v>1.163089</v>
      </c>
      <c r="T177" s="4">
        <v>1.0477160000000001</v>
      </c>
    </row>
    <row r="178" spans="1:20" ht="18">
      <c r="A178" s="2">
        <f t="shared" si="98"/>
        <v>177</v>
      </c>
      <c r="B178" s="7" t="s">
        <v>1046</v>
      </c>
      <c r="I178" s="15" t="s">
        <v>199</v>
      </c>
      <c r="J178" s="15">
        <v>176</v>
      </c>
      <c r="K178" s="4">
        <v>-0.85541999999999996</v>
      </c>
      <c r="L178" s="4">
        <v>-7.3429999999999997E-3</v>
      </c>
      <c r="M178" s="4">
        <v>1.766294</v>
      </c>
      <c r="N178" s="4">
        <v>0.90781800000000001</v>
      </c>
      <c r="O178" s="4">
        <v>-0.55736300000000005</v>
      </c>
      <c r="P178" s="4">
        <v>-6.7419999999999997E-3</v>
      </c>
      <c r="Q178" s="4">
        <v>-0.54048399999999996</v>
      </c>
      <c r="R178" s="4">
        <v>-0.245867</v>
      </c>
      <c r="S178" s="4">
        <v>1.4175800000000001</v>
      </c>
      <c r="T178" s="4">
        <v>-0.28754800000000003</v>
      </c>
    </row>
    <row r="179" spans="1:20" ht="18">
      <c r="A179" s="2">
        <f t="shared" si="98"/>
        <v>178</v>
      </c>
      <c r="B179" s="7" t="s">
        <v>1047</v>
      </c>
      <c r="I179" s="15" t="s">
        <v>200</v>
      </c>
      <c r="J179" s="15">
        <v>177</v>
      </c>
      <c r="K179" s="4">
        <v>1.408644</v>
      </c>
      <c r="L179" s="4">
        <v>-1.593688</v>
      </c>
      <c r="M179" s="4">
        <v>0.89698299999999997</v>
      </c>
      <c r="N179" s="4">
        <v>0.11283</v>
      </c>
      <c r="O179" s="4">
        <v>0.53794399999999998</v>
      </c>
      <c r="P179" s="4">
        <v>-0.16104499999999999</v>
      </c>
      <c r="Q179" s="4">
        <v>-0.89353700000000003</v>
      </c>
      <c r="R179" s="4">
        <v>-0.89502400000000004</v>
      </c>
      <c r="S179" s="4">
        <v>-1.3725350000000001</v>
      </c>
      <c r="T179" s="4">
        <v>-9.2721999999999999E-2</v>
      </c>
    </row>
    <row r="180" spans="1:20" ht="18">
      <c r="A180" s="2">
        <f t="shared" si="98"/>
        <v>179</v>
      </c>
      <c r="B180" s="7" t="s">
        <v>1048</v>
      </c>
      <c r="I180" s="15" t="s">
        <v>201</v>
      </c>
      <c r="J180" s="15">
        <v>178</v>
      </c>
      <c r="K180" s="4">
        <v>-1.094028</v>
      </c>
      <c r="L180" s="4">
        <v>-0.48512699999999997</v>
      </c>
      <c r="M180" s="4">
        <v>-1.8705480000000001</v>
      </c>
      <c r="N180" s="4">
        <v>0.77476999999999996</v>
      </c>
      <c r="O180" s="4">
        <v>1.0005999999999999E-2</v>
      </c>
      <c r="P180" s="4">
        <v>-0.26811000000000001</v>
      </c>
      <c r="Q180" s="4">
        <v>-0.21933800000000001</v>
      </c>
      <c r="R180" s="4">
        <v>-0.25852399999999998</v>
      </c>
      <c r="S180" s="4">
        <v>0.47081200000000001</v>
      </c>
      <c r="T180" s="4">
        <v>-0.27316800000000002</v>
      </c>
    </row>
    <row r="181" spans="1:20" ht="18">
      <c r="A181" s="2">
        <f t="shared" si="98"/>
        <v>180</v>
      </c>
      <c r="B181" s="7" t="s">
        <v>1049</v>
      </c>
      <c r="I181" s="15" t="s">
        <v>202</v>
      </c>
      <c r="J181" s="15">
        <v>179</v>
      </c>
      <c r="K181" s="4">
        <v>9.8266000000000006E-2</v>
      </c>
      <c r="L181" s="4">
        <v>1.296686</v>
      </c>
      <c r="M181" s="4">
        <v>-0.87751199999999996</v>
      </c>
      <c r="N181" s="4">
        <v>-0.66667200000000004</v>
      </c>
      <c r="O181" s="4">
        <v>0.97648400000000002</v>
      </c>
      <c r="P181" s="4">
        <v>-2.0786289999999998</v>
      </c>
      <c r="Q181" s="4">
        <v>-1.5375350000000001</v>
      </c>
      <c r="R181" s="4">
        <v>-9.1900000000000003E-3</v>
      </c>
      <c r="S181" s="4">
        <v>-0.96146500000000001</v>
      </c>
      <c r="T181" s="4">
        <v>-1.2595400000000001</v>
      </c>
    </row>
    <row r="182" spans="1:20" ht="18">
      <c r="A182" s="2">
        <f t="shared" si="98"/>
        <v>181</v>
      </c>
      <c r="B182" s="7" t="s">
        <v>1050</v>
      </c>
      <c r="I182" s="15" t="s">
        <v>203</v>
      </c>
      <c r="J182" s="15">
        <v>180</v>
      </c>
      <c r="K182" s="4">
        <v>-0.88864399999999999</v>
      </c>
      <c r="L182" s="4">
        <v>-9.4427999999999998E-2</v>
      </c>
      <c r="M182" s="4">
        <v>-1.111971</v>
      </c>
      <c r="N182" s="4">
        <v>0.99496200000000001</v>
      </c>
      <c r="O182" s="4">
        <v>-0.33552500000000002</v>
      </c>
      <c r="P182" s="4">
        <v>-1.0036989999999999</v>
      </c>
      <c r="Q182" s="4">
        <v>1.329005</v>
      </c>
      <c r="R182" s="4">
        <v>-2.2543669999999998</v>
      </c>
      <c r="S182" s="4">
        <v>0.72500399999999998</v>
      </c>
      <c r="T182" s="4">
        <v>-2.2510289999999999</v>
      </c>
    </row>
    <row r="183" spans="1:20" ht="18">
      <c r="A183" s="2">
        <f t="shared" si="98"/>
        <v>182</v>
      </c>
      <c r="B183" s="7" t="s">
        <v>1051</v>
      </c>
      <c r="I183" s="15" t="s">
        <v>204</v>
      </c>
      <c r="J183" s="15">
        <v>181</v>
      </c>
      <c r="K183" s="4">
        <v>-0.726356</v>
      </c>
      <c r="L183" s="4">
        <v>-8.3774000000000001E-2</v>
      </c>
      <c r="M183" s="4">
        <v>-1.433163</v>
      </c>
      <c r="N183" s="4">
        <v>4.4553000000000002E-2</v>
      </c>
      <c r="O183" s="4">
        <v>-9.5666000000000001E-2</v>
      </c>
      <c r="P183" s="4">
        <v>1.264839</v>
      </c>
      <c r="Q183" s="4">
        <v>-3.9559999999999998E-2</v>
      </c>
      <c r="R183" s="4">
        <v>0.43568600000000002</v>
      </c>
      <c r="S183" s="4">
        <v>-1.439889</v>
      </c>
      <c r="T183" s="4">
        <v>0.95504900000000004</v>
      </c>
    </row>
    <row r="184" spans="1:20" ht="18">
      <c r="A184" s="2">
        <f t="shared" si="98"/>
        <v>183</v>
      </c>
      <c r="B184" s="7" t="s">
        <v>1052</v>
      </c>
      <c r="I184" s="15" t="s">
        <v>205</v>
      </c>
      <c r="J184" s="15">
        <v>182</v>
      </c>
      <c r="K184" s="4">
        <v>-0.64989600000000003</v>
      </c>
      <c r="L184" s="4">
        <v>0.33679799999999999</v>
      </c>
      <c r="M184" s="4">
        <v>0.76500299999999999</v>
      </c>
      <c r="N184" s="4">
        <v>0.16309100000000001</v>
      </c>
      <c r="O184" s="4">
        <v>-1.3704460000000001</v>
      </c>
      <c r="P184" s="4">
        <v>-4.1950000000000001E-2</v>
      </c>
      <c r="Q184" s="4">
        <v>0.67476100000000006</v>
      </c>
      <c r="R184" s="4">
        <v>0.31733699999999998</v>
      </c>
      <c r="S184" s="4">
        <v>-0.75581200000000004</v>
      </c>
      <c r="T184" s="4">
        <v>-1.5250900000000001</v>
      </c>
    </row>
    <row r="185" spans="1:20" ht="18">
      <c r="A185" s="2">
        <f t="shared" si="98"/>
        <v>184</v>
      </c>
      <c r="B185" s="7" t="s">
        <v>1053</v>
      </c>
      <c r="I185" s="15" t="s">
        <v>206</v>
      </c>
      <c r="J185" s="15">
        <v>183</v>
      </c>
      <c r="K185" s="4">
        <v>-1.9721649999999999</v>
      </c>
      <c r="L185" s="4">
        <v>-0.140683</v>
      </c>
      <c r="M185" s="4">
        <v>-1.2472730000000001</v>
      </c>
      <c r="N185" s="4">
        <v>0.42776700000000001</v>
      </c>
      <c r="O185" s="4">
        <v>0.51482499999999998</v>
      </c>
      <c r="P185" s="4">
        <v>1.836042</v>
      </c>
      <c r="Q185" s="4">
        <v>2.1669079999999998</v>
      </c>
      <c r="R185" s="4">
        <v>1.0720259999999999</v>
      </c>
      <c r="S185" s="4">
        <v>1.5188029999999999</v>
      </c>
      <c r="T185" s="4">
        <v>-4.9489999999999999E-2</v>
      </c>
    </row>
    <row r="186" spans="1:20" ht="18">
      <c r="A186" s="2">
        <f t="shared" si="98"/>
        <v>185</v>
      </c>
      <c r="B186" s="7" t="s">
        <v>1054</v>
      </c>
      <c r="I186" s="15" t="s">
        <v>207</v>
      </c>
      <c r="J186" s="15">
        <v>184</v>
      </c>
      <c r="K186" s="4">
        <v>-0.75332500000000002</v>
      </c>
      <c r="L186" s="4">
        <v>1.5809839999999999</v>
      </c>
      <c r="M186" s="4">
        <v>2.2402540000000002</v>
      </c>
      <c r="N186" s="4">
        <v>-1.9279770000000001</v>
      </c>
      <c r="O186" s="4">
        <v>-3.0211999999999999E-2</v>
      </c>
      <c r="P186" s="4">
        <v>1.2031559999999999</v>
      </c>
      <c r="Q186" s="4">
        <v>-1.435373</v>
      </c>
      <c r="R186" s="4">
        <v>-0.13442499999999999</v>
      </c>
      <c r="S186" s="4">
        <v>0.308199</v>
      </c>
      <c r="T186" s="4">
        <v>1.3853059999999999</v>
      </c>
    </row>
    <row r="187" spans="1:20" ht="18">
      <c r="A187" s="2">
        <f t="shared" si="98"/>
        <v>186</v>
      </c>
      <c r="B187" s="7" t="s">
        <v>1055</v>
      </c>
      <c r="I187" s="15" t="s">
        <v>208</v>
      </c>
      <c r="J187" s="15">
        <v>185</v>
      </c>
      <c r="K187" s="4">
        <v>0.819797</v>
      </c>
      <c r="L187" s="4">
        <v>-0.37065799999999999</v>
      </c>
      <c r="M187" s="4">
        <v>3.065982</v>
      </c>
      <c r="N187" s="4">
        <v>0.59539399999999998</v>
      </c>
      <c r="O187" s="4">
        <v>0.56228599999999995</v>
      </c>
      <c r="P187" s="4">
        <v>0.73244799999999999</v>
      </c>
      <c r="Q187" s="4">
        <v>2.0966369999999999</v>
      </c>
      <c r="R187" s="4">
        <v>-0.27313100000000001</v>
      </c>
      <c r="S187" s="4">
        <v>0.39881699999999998</v>
      </c>
      <c r="T187" s="4">
        <v>1.3365959999999999</v>
      </c>
    </row>
    <row r="188" spans="1:20" ht="18">
      <c r="A188" s="2">
        <f t="shared" si="98"/>
        <v>187</v>
      </c>
      <c r="B188" s="7" t="s">
        <v>1056</v>
      </c>
      <c r="I188" s="15" t="s">
        <v>209</v>
      </c>
      <c r="J188" s="15">
        <v>186</v>
      </c>
      <c r="K188" s="4">
        <v>0.74340600000000001</v>
      </c>
      <c r="L188" s="4">
        <v>2.2786249999999999</v>
      </c>
      <c r="M188" s="4">
        <v>2.838244</v>
      </c>
      <c r="N188" s="4">
        <v>0.44852300000000001</v>
      </c>
      <c r="O188" s="4">
        <v>1.585925</v>
      </c>
      <c r="P188" s="4">
        <v>-1.0511919999999999</v>
      </c>
      <c r="Q188" s="4">
        <v>1.0867089999999999</v>
      </c>
      <c r="R188" s="4">
        <v>0.64600299999999999</v>
      </c>
      <c r="S188" s="4">
        <v>0.26146799999999998</v>
      </c>
      <c r="T188" s="4">
        <v>-0.38166899999999998</v>
      </c>
    </row>
    <row r="189" spans="1:20" ht="18">
      <c r="A189" s="2">
        <f t="shared" si="98"/>
        <v>188</v>
      </c>
      <c r="B189" s="7" t="s">
        <v>1057</v>
      </c>
      <c r="I189" s="15" t="s">
        <v>210</v>
      </c>
      <c r="J189" s="15">
        <v>187</v>
      </c>
      <c r="K189" s="4">
        <v>0.19323799999999999</v>
      </c>
      <c r="L189" s="4">
        <v>0.319185</v>
      </c>
      <c r="M189" s="4">
        <v>-0.93937599999999999</v>
      </c>
      <c r="N189" s="4">
        <v>1.7668360000000001</v>
      </c>
      <c r="O189" s="4">
        <v>-0.994224</v>
      </c>
      <c r="P189" s="4">
        <v>-0.42148200000000002</v>
      </c>
      <c r="Q189" s="4">
        <v>1.0383420000000001</v>
      </c>
      <c r="R189" s="4">
        <v>0.95828899999999995</v>
      </c>
      <c r="S189" s="4">
        <v>-0.94605399999999995</v>
      </c>
      <c r="T189" s="4">
        <v>1.24518</v>
      </c>
    </row>
    <row r="190" spans="1:20" ht="18">
      <c r="A190" s="2">
        <f t="shared" si="98"/>
        <v>189</v>
      </c>
      <c r="B190" s="7" t="s">
        <v>1058</v>
      </c>
      <c r="I190" s="15" t="s">
        <v>211</v>
      </c>
      <c r="J190" s="15">
        <v>188</v>
      </c>
      <c r="K190" s="4">
        <v>-0.156329</v>
      </c>
      <c r="L190" s="4">
        <v>-0.14579800000000001</v>
      </c>
      <c r="M190" s="4">
        <v>0.91559599999999997</v>
      </c>
      <c r="N190" s="4">
        <v>-1.1010009999999999</v>
      </c>
      <c r="O190" s="4">
        <v>-0.95730199999999999</v>
      </c>
      <c r="P190" s="4">
        <v>-4.7361E-2</v>
      </c>
      <c r="Q190" s="4">
        <v>0.123723</v>
      </c>
      <c r="R190" s="4">
        <v>-4.8541000000000001E-2</v>
      </c>
      <c r="S190" s="4">
        <v>-0.59018999999999999</v>
      </c>
      <c r="T190" s="4">
        <v>-1.337304</v>
      </c>
    </row>
    <row r="191" spans="1:20" ht="18">
      <c r="A191" s="2">
        <f t="shared" si="98"/>
        <v>190</v>
      </c>
      <c r="B191" s="7" t="s">
        <v>1059</v>
      </c>
      <c r="I191" s="15" t="s">
        <v>212</v>
      </c>
      <c r="J191" s="15">
        <v>189</v>
      </c>
      <c r="K191" s="4">
        <v>-0.305122</v>
      </c>
      <c r="L191" s="4">
        <v>-0.37851000000000001</v>
      </c>
      <c r="M191" s="4">
        <v>1.6186370000000001</v>
      </c>
      <c r="N191" s="4">
        <v>0.22522300000000001</v>
      </c>
      <c r="O191" s="4">
        <v>0.793296</v>
      </c>
      <c r="P191" s="4">
        <v>-0.69922200000000001</v>
      </c>
      <c r="Q191" s="4">
        <v>0.50257099999999999</v>
      </c>
      <c r="R191" s="4">
        <v>-0.29419400000000001</v>
      </c>
      <c r="S191" s="4">
        <v>-0.88048599999999999</v>
      </c>
      <c r="T191" s="4">
        <v>0.87015600000000004</v>
      </c>
    </row>
    <row r="192" spans="1:20" ht="18">
      <c r="A192" s="2">
        <f t="shared" si="98"/>
        <v>191</v>
      </c>
      <c r="B192" s="7" t="s">
        <v>1060</v>
      </c>
      <c r="I192" s="15" t="s">
        <v>213</v>
      </c>
      <c r="J192" s="15">
        <v>190</v>
      </c>
      <c r="K192" s="4">
        <v>1.240629</v>
      </c>
      <c r="L192" s="4">
        <v>0.88023300000000004</v>
      </c>
      <c r="M192" s="4">
        <v>5.5906999999999998E-2</v>
      </c>
      <c r="N192" s="4">
        <v>1.2342470000000001</v>
      </c>
      <c r="O192" s="4">
        <v>-0.56969000000000003</v>
      </c>
      <c r="P192" s="4">
        <v>0.45401000000000002</v>
      </c>
      <c r="Q192" s="4">
        <v>0.66764400000000002</v>
      </c>
      <c r="R192" s="4">
        <v>-0.37395699999999998</v>
      </c>
      <c r="S192" s="4">
        <v>-0.18843599999999999</v>
      </c>
      <c r="T192" s="4">
        <v>0.70303000000000004</v>
      </c>
    </row>
    <row r="193" spans="1:20" ht="18">
      <c r="A193" s="2">
        <f t="shared" si="98"/>
        <v>192</v>
      </c>
      <c r="B193" s="7" t="s">
        <v>1061</v>
      </c>
      <c r="I193" s="15" t="s">
        <v>214</v>
      </c>
      <c r="J193" s="15">
        <v>191</v>
      </c>
      <c r="K193" s="4">
        <v>1.3464879999999999</v>
      </c>
      <c r="L193" s="4">
        <v>-0.14318900000000001</v>
      </c>
      <c r="M193" s="4">
        <v>1.0600860000000001</v>
      </c>
      <c r="N193" s="4">
        <v>-0.102585</v>
      </c>
      <c r="O193" s="4">
        <v>-1.3288059999999999</v>
      </c>
      <c r="P193" s="4">
        <v>2.6094719999999998</v>
      </c>
      <c r="Q193" s="4">
        <v>-1.617667</v>
      </c>
      <c r="R193" s="4">
        <v>-0.38819199999999998</v>
      </c>
      <c r="S193" s="4">
        <v>0.89744100000000004</v>
      </c>
      <c r="T193" s="4">
        <v>-1.827831</v>
      </c>
    </row>
    <row r="194" spans="1:20" ht="18">
      <c r="A194" s="2">
        <f t="shared" si="98"/>
        <v>193</v>
      </c>
      <c r="B194" s="7" t="s">
        <v>1062</v>
      </c>
      <c r="I194" s="15" t="s">
        <v>215</v>
      </c>
      <c r="J194" s="15">
        <v>192</v>
      </c>
      <c r="K194" s="4">
        <v>-1.395173</v>
      </c>
      <c r="L194" s="4">
        <v>1.7813099999999999</v>
      </c>
      <c r="M194" s="4">
        <v>-0.94999800000000001</v>
      </c>
      <c r="N194" s="4">
        <v>1.0010810000000001</v>
      </c>
      <c r="O194" s="4">
        <v>-0.51085000000000003</v>
      </c>
      <c r="P194" s="4">
        <v>-1.597912</v>
      </c>
      <c r="Q194" s="4">
        <v>0.15489600000000001</v>
      </c>
      <c r="R194" s="4">
        <v>0.80657400000000001</v>
      </c>
      <c r="S194" s="4">
        <v>0.72463699999999998</v>
      </c>
      <c r="T194" s="4">
        <v>1.021709</v>
      </c>
    </row>
    <row r="195" spans="1:20" ht="18">
      <c r="A195" s="2">
        <f t="shared" ref="A195:A258" si="99">ROW()-1</f>
        <v>194</v>
      </c>
      <c r="B195" s="7" t="s">
        <v>1063</v>
      </c>
      <c r="I195" s="15" t="s">
        <v>216</v>
      </c>
      <c r="J195" s="15">
        <v>193</v>
      </c>
      <c r="K195" s="4">
        <v>0.52750900000000001</v>
      </c>
      <c r="L195" s="4">
        <v>1.5865629999999999</v>
      </c>
      <c r="M195" s="4">
        <v>-0.97677199999999997</v>
      </c>
      <c r="N195" s="4">
        <v>-0.97841299999999998</v>
      </c>
      <c r="O195" s="4">
        <v>-0.27815699999999999</v>
      </c>
      <c r="P195" s="4">
        <v>0.10986899999999999</v>
      </c>
      <c r="Q195" s="4">
        <v>0.332866</v>
      </c>
      <c r="R195" s="4">
        <v>-1.0320210000000001</v>
      </c>
      <c r="S195" s="4">
        <v>0.76119099999999995</v>
      </c>
      <c r="T195" s="4">
        <v>0.31708799999999998</v>
      </c>
    </row>
    <row r="196" spans="1:20" ht="18">
      <c r="A196" s="2">
        <f t="shared" si="99"/>
        <v>195</v>
      </c>
      <c r="B196" s="7" t="s">
        <v>1064</v>
      </c>
      <c r="I196" s="15" t="s">
        <v>217</v>
      </c>
      <c r="J196" s="15">
        <v>194</v>
      </c>
      <c r="K196" s="4">
        <v>-2.2163889999999999</v>
      </c>
      <c r="L196" s="4">
        <v>-0.19045200000000001</v>
      </c>
      <c r="M196" s="4">
        <v>0.44391000000000003</v>
      </c>
      <c r="N196" s="4">
        <v>-1.9516359999999999</v>
      </c>
      <c r="O196" s="4">
        <v>0.36091699999999999</v>
      </c>
      <c r="P196" s="4">
        <v>0.78796900000000003</v>
      </c>
      <c r="Q196" s="4">
        <v>-0.91330900000000004</v>
      </c>
      <c r="R196" s="4">
        <v>-0.963951</v>
      </c>
      <c r="S196" s="4">
        <v>0.68344899999999997</v>
      </c>
      <c r="T196" s="4">
        <v>8.5269999999999999E-2</v>
      </c>
    </row>
    <row r="197" spans="1:20" ht="18">
      <c r="A197" s="2">
        <f t="shared" si="99"/>
        <v>196</v>
      </c>
      <c r="B197" s="7" t="s">
        <v>1065</v>
      </c>
      <c r="I197" s="15" t="s">
        <v>218</v>
      </c>
      <c r="J197" s="15">
        <v>195</v>
      </c>
      <c r="K197" s="4">
        <v>-1.173114</v>
      </c>
      <c r="L197" s="4">
        <v>0.110737</v>
      </c>
      <c r="M197" s="4">
        <v>-0.38806400000000002</v>
      </c>
      <c r="N197" s="4">
        <v>1.0893520000000001</v>
      </c>
      <c r="O197" s="4">
        <v>1.0727249999999999</v>
      </c>
      <c r="P197" s="4">
        <v>0.954291</v>
      </c>
      <c r="Q197" s="4">
        <v>0.531115</v>
      </c>
      <c r="R197" s="4">
        <v>0.75189099999999998</v>
      </c>
      <c r="S197" s="4">
        <v>0.71673699999999996</v>
      </c>
      <c r="T197" s="4">
        <v>0.35079199999999999</v>
      </c>
    </row>
    <row r="198" spans="1:20" ht="18">
      <c r="A198" s="2">
        <f t="shared" si="99"/>
        <v>197</v>
      </c>
      <c r="B198" s="7" t="s">
        <v>1066</v>
      </c>
      <c r="I198" s="15" t="s">
        <v>219</v>
      </c>
      <c r="J198" s="15">
        <v>196</v>
      </c>
      <c r="K198" s="4">
        <v>-0.414767</v>
      </c>
      <c r="L198" s="4">
        <v>0.55759099999999995</v>
      </c>
      <c r="M198" s="4">
        <v>1.139942</v>
      </c>
      <c r="N198" s="4">
        <v>-1.8159590000000001</v>
      </c>
      <c r="O198" s="4">
        <v>1.3402000000000001</v>
      </c>
      <c r="P198" s="4">
        <v>1.5333060000000001</v>
      </c>
      <c r="Q198" s="4">
        <v>-0.482798</v>
      </c>
      <c r="R198" s="4">
        <v>-0.37563000000000002</v>
      </c>
      <c r="S198" s="4">
        <v>0.50558700000000001</v>
      </c>
      <c r="T198" s="4">
        <v>7.1461999999999998E-2</v>
      </c>
    </row>
    <row r="199" spans="1:20" ht="18">
      <c r="A199" s="2">
        <f t="shared" si="99"/>
        <v>198</v>
      </c>
      <c r="B199" s="7" t="s">
        <v>1067</v>
      </c>
      <c r="I199" s="15" t="s">
        <v>220</v>
      </c>
      <c r="J199" s="15">
        <v>197</v>
      </c>
      <c r="K199" s="4">
        <v>-2.4025999999999999E-2</v>
      </c>
      <c r="L199" s="4">
        <v>-1.0849310000000001</v>
      </c>
      <c r="M199" s="4">
        <v>-0.278951</v>
      </c>
      <c r="N199" s="4">
        <v>0.75391600000000003</v>
      </c>
      <c r="O199" s="4">
        <v>-0.71334500000000001</v>
      </c>
      <c r="P199" s="4">
        <v>-0.33637600000000001</v>
      </c>
      <c r="Q199" s="4">
        <v>-0.30963299999999999</v>
      </c>
      <c r="R199" s="4">
        <v>1.333083</v>
      </c>
      <c r="S199" s="4">
        <v>0.40343099999999998</v>
      </c>
      <c r="T199" s="4">
        <v>-0.40995399999999999</v>
      </c>
    </row>
    <row r="200" spans="1:20" ht="18">
      <c r="A200" s="2">
        <f t="shared" si="99"/>
        <v>199</v>
      </c>
      <c r="B200" s="7" t="s">
        <v>1068</v>
      </c>
      <c r="I200" s="15" t="s">
        <v>221</v>
      </c>
      <c r="J200" s="15">
        <v>198</v>
      </c>
      <c r="K200" s="4">
        <v>-0.33263500000000001</v>
      </c>
      <c r="L200" s="4">
        <v>-0.345771</v>
      </c>
      <c r="M200" s="4">
        <v>0.76923699999999995</v>
      </c>
      <c r="N200" s="4">
        <v>0.482678</v>
      </c>
      <c r="O200" s="4">
        <v>-0.41734199999999999</v>
      </c>
      <c r="P200" s="4">
        <v>-0.12471500000000001</v>
      </c>
      <c r="Q200" s="4">
        <v>-1.3257129999999999</v>
      </c>
      <c r="R200" s="4">
        <v>-0.16950799999999999</v>
      </c>
      <c r="S200" s="4">
        <v>-1.131402</v>
      </c>
      <c r="T200" s="4">
        <v>0.23635500000000001</v>
      </c>
    </row>
    <row r="201" spans="1:20" ht="18">
      <c r="A201" s="2">
        <f t="shared" si="99"/>
        <v>200</v>
      </c>
      <c r="B201" s="7" t="s">
        <v>1069</v>
      </c>
      <c r="I201" s="15" t="s">
        <v>222</v>
      </c>
      <c r="J201" s="15">
        <v>199</v>
      </c>
      <c r="K201" s="4">
        <v>1.1170089999999999</v>
      </c>
      <c r="L201" s="4">
        <v>-1.3984909999999999</v>
      </c>
      <c r="M201" s="4">
        <v>-1.620349</v>
      </c>
      <c r="N201" s="4">
        <v>-0.84548100000000004</v>
      </c>
      <c r="O201" s="4">
        <v>-0.32077299999999997</v>
      </c>
      <c r="P201" s="4">
        <v>1.8315380000000001</v>
      </c>
      <c r="Q201" s="4">
        <v>-2.8766889999999998</v>
      </c>
      <c r="R201" s="4">
        <v>-1.0420860000000001</v>
      </c>
      <c r="S201" s="4">
        <v>2.485182</v>
      </c>
      <c r="T201" s="4">
        <v>0.62771900000000003</v>
      </c>
    </row>
    <row r="202" spans="1:20" ht="18">
      <c r="A202" s="2">
        <f t="shared" si="99"/>
        <v>201</v>
      </c>
      <c r="B202" s="7" t="s">
        <v>1070</v>
      </c>
      <c r="I202" s="15" t="s">
        <v>223</v>
      </c>
      <c r="J202" s="15">
        <v>200</v>
      </c>
      <c r="K202" s="4">
        <v>-9.4837000000000005E-2</v>
      </c>
      <c r="L202" s="4">
        <v>-0.88742500000000002</v>
      </c>
      <c r="M202" s="4">
        <v>6.1110999999999999E-2</v>
      </c>
      <c r="N202" s="4">
        <v>-1.055056</v>
      </c>
      <c r="O202" s="4">
        <v>1.8359110000000001</v>
      </c>
      <c r="P202" s="4">
        <v>-0.94779500000000005</v>
      </c>
      <c r="Q202" s="4">
        <v>0.69864899999999996</v>
      </c>
      <c r="R202" s="4">
        <v>-0.71698499999999998</v>
      </c>
      <c r="S202" s="4">
        <v>-1.3443419999999999</v>
      </c>
      <c r="T202" s="4">
        <v>-0.271565</v>
      </c>
    </row>
    <row r="203" spans="1:20" ht="18">
      <c r="A203" s="2">
        <f t="shared" si="99"/>
        <v>202</v>
      </c>
      <c r="B203" s="7" t="s">
        <v>1071</v>
      </c>
      <c r="I203" s="15" t="s">
        <v>224</v>
      </c>
      <c r="J203" s="15">
        <v>201</v>
      </c>
      <c r="K203" s="4">
        <v>0.865286</v>
      </c>
      <c r="L203" s="4">
        <v>-1.7689520000000001</v>
      </c>
      <c r="M203" s="4">
        <v>-0.89451599999999998</v>
      </c>
      <c r="N203" s="4">
        <v>-0.92225400000000002</v>
      </c>
      <c r="O203" s="4">
        <v>9.188E-3</v>
      </c>
      <c r="P203" s="4">
        <v>1.144968</v>
      </c>
      <c r="Q203" s="4">
        <v>4.5415999999999998E-2</v>
      </c>
      <c r="R203" s="4">
        <v>-0.73199700000000001</v>
      </c>
      <c r="S203" s="4">
        <v>-0.48521999999999998</v>
      </c>
      <c r="T203" s="4">
        <v>0.57141799999999998</v>
      </c>
    </row>
    <row r="204" spans="1:20" ht="18">
      <c r="A204" s="2">
        <f t="shared" si="99"/>
        <v>203</v>
      </c>
      <c r="B204" s="7" t="s">
        <v>1072</v>
      </c>
      <c r="I204" s="15" t="s">
        <v>225</v>
      </c>
      <c r="J204" s="15">
        <v>202</v>
      </c>
      <c r="K204" s="4">
        <v>1.525766</v>
      </c>
      <c r="L204" s="4">
        <v>-2.0448940000000002</v>
      </c>
      <c r="M204" s="4">
        <v>-0.67475499999999999</v>
      </c>
      <c r="N204" s="4">
        <v>1.201206</v>
      </c>
      <c r="O204" s="4">
        <v>-0.47805700000000001</v>
      </c>
      <c r="P204" s="4">
        <v>-2.2983030000000002</v>
      </c>
      <c r="Q204" s="4">
        <v>1.0137529999999999</v>
      </c>
      <c r="R204" s="4">
        <v>0.64321799999999996</v>
      </c>
      <c r="S204" s="4">
        <v>0.48489700000000002</v>
      </c>
      <c r="T204" s="4">
        <v>0.77424199999999999</v>
      </c>
    </row>
    <row r="205" spans="1:20" ht="18">
      <c r="A205" s="2">
        <f t="shared" si="99"/>
        <v>204</v>
      </c>
      <c r="B205" s="7" t="s">
        <v>1073</v>
      </c>
      <c r="I205" s="15" t="s">
        <v>226</v>
      </c>
      <c r="J205" s="15">
        <v>203</v>
      </c>
      <c r="K205" s="4">
        <v>-0.86679600000000001</v>
      </c>
      <c r="L205" s="4">
        <v>0.68463300000000005</v>
      </c>
      <c r="M205" s="4">
        <v>1.1399619999999999</v>
      </c>
      <c r="N205" s="4">
        <v>0.91890899999999998</v>
      </c>
      <c r="O205" s="4">
        <v>-2.2193659999999999</v>
      </c>
      <c r="P205" s="4">
        <v>0.52973499999999996</v>
      </c>
      <c r="Q205" s="4">
        <v>-0.40702700000000003</v>
      </c>
      <c r="R205" s="4">
        <v>-0.54239599999999999</v>
      </c>
      <c r="S205" s="4">
        <v>1.370798</v>
      </c>
      <c r="T205" s="4">
        <v>-2.0016919999999998</v>
      </c>
    </row>
    <row r="206" spans="1:20" ht="18">
      <c r="A206" s="2">
        <f t="shared" si="99"/>
        <v>205</v>
      </c>
      <c r="B206" s="7" t="s">
        <v>1074</v>
      </c>
      <c r="I206" s="15" t="s">
        <v>227</v>
      </c>
      <c r="J206" s="15">
        <v>204</v>
      </c>
      <c r="K206" s="4">
        <v>0.81636200000000003</v>
      </c>
      <c r="L206" s="4">
        <v>-8.4190000000000001E-2</v>
      </c>
      <c r="M206" s="4">
        <v>-0.99354699999999996</v>
      </c>
      <c r="N206" s="4">
        <v>-1.6614660000000001</v>
      </c>
      <c r="O206" s="4">
        <v>-0.17522699999999999</v>
      </c>
      <c r="P206" s="4">
        <v>-1.053925</v>
      </c>
      <c r="Q206" s="4">
        <v>-1.4349799999999999</v>
      </c>
      <c r="R206" s="4">
        <v>-0.73878699999999997</v>
      </c>
      <c r="S206" s="4">
        <v>1.3895519999999999</v>
      </c>
      <c r="T206" s="4">
        <v>-0.72524</v>
      </c>
    </row>
    <row r="207" spans="1:20" ht="18">
      <c r="A207" s="2">
        <f t="shared" si="99"/>
        <v>206</v>
      </c>
      <c r="B207" s="7" t="s">
        <v>1075</v>
      </c>
      <c r="I207" s="15" t="s">
        <v>228</v>
      </c>
      <c r="J207" s="15">
        <v>205</v>
      </c>
      <c r="K207" s="4">
        <v>-0.89810000000000001</v>
      </c>
      <c r="L207" s="4">
        <v>-1.519806</v>
      </c>
      <c r="M207" s="4">
        <v>0.89249599999999996</v>
      </c>
      <c r="N207" s="4">
        <v>1.349237</v>
      </c>
      <c r="O207" s="4">
        <v>-0.95768500000000001</v>
      </c>
      <c r="P207" s="4">
        <v>-0.167546</v>
      </c>
      <c r="Q207" s="4">
        <v>1.164785</v>
      </c>
      <c r="R207" s="4">
        <v>-1.564233</v>
      </c>
      <c r="S207" s="4">
        <v>-1.582152</v>
      </c>
      <c r="T207" s="4">
        <v>0.58803499999999997</v>
      </c>
    </row>
    <row r="208" spans="1:20" ht="18">
      <c r="A208" s="2">
        <f t="shared" si="99"/>
        <v>207</v>
      </c>
      <c r="B208" s="7" t="s">
        <v>1076</v>
      </c>
      <c r="I208" s="15" t="s">
        <v>229</v>
      </c>
      <c r="J208" s="15">
        <v>206</v>
      </c>
      <c r="K208" s="4">
        <v>-0.14693400000000001</v>
      </c>
      <c r="L208" s="4">
        <v>-1.060681</v>
      </c>
      <c r="M208" s="4">
        <v>-0.95193300000000003</v>
      </c>
      <c r="N208" s="4">
        <v>0.66975899999999999</v>
      </c>
      <c r="O208" s="4">
        <v>-2.465713</v>
      </c>
      <c r="P208" s="4">
        <v>-0.12343</v>
      </c>
      <c r="Q208" s="4">
        <v>0.96265000000000001</v>
      </c>
      <c r="R208" s="4">
        <v>1.0991439999999999</v>
      </c>
      <c r="S208" s="4">
        <v>-0.36126900000000001</v>
      </c>
      <c r="T208" s="4">
        <v>8.1240999999999994E-2</v>
      </c>
    </row>
    <row r="209" spans="1:20" ht="18">
      <c r="A209" s="2">
        <f t="shared" si="99"/>
        <v>208</v>
      </c>
      <c r="B209" s="7" t="s">
        <v>1077</v>
      </c>
      <c r="I209" s="15" t="s">
        <v>230</v>
      </c>
      <c r="J209" s="15">
        <v>207</v>
      </c>
      <c r="K209" s="4">
        <v>-0.49054399999999998</v>
      </c>
      <c r="L209" s="4">
        <v>0.21224799999999999</v>
      </c>
      <c r="M209" s="4">
        <v>0.14915200000000001</v>
      </c>
      <c r="N209" s="4">
        <v>8.3151000000000003E-2</v>
      </c>
      <c r="O209" s="4">
        <v>-0.80702399999999996</v>
      </c>
      <c r="P209" s="4">
        <v>0.92905199999999999</v>
      </c>
      <c r="Q209" s="4">
        <v>0.27118999999999999</v>
      </c>
      <c r="R209" s="4">
        <v>4.4768000000000002E-2</v>
      </c>
      <c r="S209" s="4">
        <v>0.24465200000000001</v>
      </c>
      <c r="T209" s="4">
        <v>2.044171</v>
      </c>
    </row>
    <row r="210" spans="1:20" ht="18">
      <c r="A210" s="2">
        <f t="shared" si="99"/>
        <v>209</v>
      </c>
      <c r="B210" s="7" t="s">
        <v>1078</v>
      </c>
      <c r="I210" s="15" t="s">
        <v>231</v>
      </c>
      <c r="J210" s="15">
        <v>208</v>
      </c>
      <c r="K210" s="4">
        <v>-0.275281</v>
      </c>
      <c r="L210" s="4">
        <v>0.43521799999999999</v>
      </c>
      <c r="M210" s="4">
        <v>1.4383630000000001</v>
      </c>
      <c r="N210" s="4">
        <v>1.4173629999999999</v>
      </c>
      <c r="O210" s="4">
        <v>0.68484699999999998</v>
      </c>
      <c r="P210" s="4">
        <v>1.671316</v>
      </c>
      <c r="Q210" s="4">
        <v>-1.2081759999999999</v>
      </c>
      <c r="R210" s="4">
        <v>0.51598599999999994</v>
      </c>
      <c r="S210" s="4">
        <v>-1.486831</v>
      </c>
      <c r="T210" s="4">
        <v>-0.93722000000000005</v>
      </c>
    </row>
    <row r="211" spans="1:20" ht="18">
      <c r="A211" s="2">
        <f t="shared" si="99"/>
        <v>210</v>
      </c>
      <c r="B211" s="7" t="s">
        <v>1079</v>
      </c>
      <c r="I211" s="15" t="s">
        <v>232</v>
      </c>
      <c r="J211" s="15">
        <v>209</v>
      </c>
      <c r="K211" s="4">
        <v>-1.7561370000000001</v>
      </c>
      <c r="L211" s="4">
        <v>0.16086</v>
      </c>
      <c r="M211" s="4">
        <v>-0.21029</v>
      </c>
      <c r="N211" s="4">
        <v>-1.7683580000000001</v>
      </c>
      <c r="O211" s="4">
        <v>1.0641579999999999</v>
      </c>
      <c r="P211" s="4">
        <v>1.2502040000000001</v>
      </c>
      <c r="Q211" s="4">
        <v>1.237784</v>
      </c>
      <c r="R211" s="4">
        <v>0.21123700000000001</v>
      </c>
      <c r="S211" s="4">
        <v>0.55775699999999995</v>
      </c>
      <c r="T211" s="4">
        <v>-1.4979530000000001</v>
      </c>
    </row>
    <row r="212" spans="1:20" ht="18">
      <c r="A212" s="2">
        <f t="shared" si="99"/>
        <v>211</v>
      </c>
      <c r="B212" s="7" t="s">
        <v>1080</v>
      </c>
      <c r="I212" s="15" t="s">
        <v>233</v>
      </c>
      <c r="J212" s="15">
        <v>210</v>
      </c>
      <c r="K212" s="4">
        <v>0.71781700000000004</v>
      </c>
      <c r="L212" s="4">
        <v>-1.251042</v>
      </c>
      <c r="M212" s="4">
        <v>-0.94966300000000003</v>
      </c>
      <c r="N212" s="4">
        <v>-0.396007</v>
      </c>
      <c r="O212" s="4">
        <v>1.636801</v>
      </c>
      <c r="P212" s="4">
        <v>0.64780899999999997</v>
      </c>
      <c r="Q212" s="4">
        <v>2.300379</v>
      </c>
      <c r="R212" s="4">
        <v>0.24052599999999999</v>
      </c>
      <c r="S212" s="4">
        <v>0.14036599999999999</v>
      </c>
      <c r="T212" s="4">
        <v>-1.72736</v>
      </c>
    </row>
    <row r="213" spans="1:20" ht="18">
      <c r="A213" s="2">
        <f t="shared" si="99"/>
        <v>212</v>
      </c>
      <c r="B213" s="7" t="s">
        <v>1081</v>
      </c>
      <c r="I213" s="15" t="s">
        <v>234</v>
      </c>
      <c r="J213" s="15">
        <v>211</v>
      </c>
      <c r="K213" s="4">
        <v>-0.56249000000000005</v>
      </c>
      <c r="L213" s="4">
        <v>0.218829</v>
      </c>
      <c r="M213" s="4">
        <v>-0.389183</v>
      </c>
      <c r="N213" s="4">
        <v>-1.1524650000000001</v>
      </c>
      <c r="O213" s="4">
        <v>0.120944</v>
      </c>
      <c r="P213" s="4">
        <v>0.39509499999999997</v>
      </c>
      <c r="Q213" s="4">
        <v>-0.81545900000000004</v>
      </c>
      <c r="R213" s="4">
        <v>1.3085990000000001</v>
      </c>
      <c r="S213" s="4">
        <v>0.59233199999999997</v>
      </c>
      <c r="T213" s="4">
        <v>-0.31800499999999998</v>
      </c>
    </row>
    <row r="214" spans="1:20" ht="18">
      <c r="A214" s="2">
        <f t="shared" si="99"/>
        <v>213</v>
      </c>
      <c r="B214" s="7" t="s">
        <v>1082</v>
      </c>
      <c r="I214" s="15" t="s">
        <v>235</v>
      </c>
      <c r="J214" s="15">
        <v>212</v>
      </c>
      <c r="K214" s="4">
        <v>-0.47765600000000003</v>
      </c>
      <c r="L214" s="4">
        <v>-0.74416599999999999</v>
      </c>
      <c r="M214" s="4">
        <v>-0.14577100000000001</v>
      </c>
      <c r="N214" s="4">
        <v>1.7725649999999999</v>
      </c>
      <c r="O214" s="4">
        <v>-0.38779000000000002</v>
      </c>
      <c r="P214" s="4">
        <v>1.1155189999999999</v>
      </c>
      <c r="Q214" s="4">
        <v>-1.7220819999999999</v>
      </c>
      <c r="R214" s="4">
        <v>0.187691</v>
      </c>
      <c r="S214" s="4">
        <v>-1.600409</v>
      </c>
      <c r="T214" s="4">
        <v>0.26927699999999999</v>
      </c>
    </row>
    <row r="215" spans="1:20" ht="18">
      <c r="A215" s="2">
        <f t="shared" si="99"/>
        <v>214</v>
      </c>
      <c r="B215" s="7" t="s">
        <v>1083</v>
      </c>
      <c r="I215" s="15" t="s">
        <v>236</v>
      </c>
      <c r="J215" s="15">
        <v>213</v>
      </c>
      <c r="K215" s="4">
        <v>-1.1566270000000001</v>
      </c>
      <c r="L215" s="4">
        <v>-1.3341689999999999</v>
      </c>
      <c r="M215" s="4">
        <v>-0.540358</v>
      </c>
      <c r="N215" s="4">
        <v>-1.154399</v>
      </c>
      <c r="O215" s="4">
        <v>0.71728700000000001</v>
      </c>
      <c r="P215" s="4">
        <v>-1.7679279999999999</v>
      </c>
      <c r="Q215" s="4">
        <v>-0.17929600000000001</v>
      </c>
      <c r="R215" s="4">
        <v>-0.100731</v>
      </c>
      <c r="S215" s="4">
        <v>0.78422599999999998</v>
      </c>
      <c r="T215" s="4">
        <v>-1.5720689999999999</v>
      </c>
    </row>
    <row r="216" spans="1:20" ht="18">
      <c r="A216" s="2">
        <f t="shared" si="99"/>
        <v>215</v>
      </c>
      <c r="B216" s="7" t="s">
        <v>1084</v>
      </c>
      <c r="I216" s="15" t="s">
        <v>237</v>
      </c>
      <c r="J216" s="15">
        <v>214</v>
      </c>
      <c r="K216" s="4">
        <v>-1.3170740000000001</v>
      </c>
      <c r="L216" s="4">
        <v>-1.9712860000000001</v>
      </c>
      <c r="M216" s="4">
        <v>1.914507</v>
      </c>
      <c r="N216" s="4">
        <v>-0.78995599999999999</v>
      </c>
      <c r="O216" s="4">
        <v>-0.74841500000000005</v>
      </c>
      <c r="P216" s="4">
        <v>0.643096</v>
      </c>
      <c r="Q216" s="4">
        <v>-0.96262800000000004</v>
      </c>
      <c r="R216" s="4">
        <v>0.85160599999999997</v>
      </c>
      <c r="S216" s="4">
        <v>0.73064899999999999</v>
      </c>
      <c r="T216" s="4">
        <v>1.826454</v>
      </c>
    </row>
    <row r="217" spans="1:20" ht="18">
      <c r="A217" s="2">
        <f t="shared" si="99"/>
        <v>216</v>
      </c>
      <c r="B217" s="7" t="s">
        <v>1085</v>
      </c>
      <c r="I217" s="15" t="s">
        <v>238</v>
      </c>
      <c r="J217" s="15">
        <v>215</v>
      </c>
      <c r="K217" s="4">
        <v>-0.92927999999999999</v>
      </c>
      <c r="L217" s="4">
        <v>1.1844859999999999</v>
      </c>
      <c r="M217" s="4">
        <v>-0.18457899999999999</v>
      </c>
      <c r="N217" s="4">
        <v>1.329067</v>
      </c>
      <c r="O217" s="4">
        <v>0.21285499999999999</v>
      </c>
      <c r="P217" s="4">
        <v>-0.17562800000000001</v>
      </c>
      <c r="Q217" s="4">
        <v>-1.7053799999999999</v>
      </c>
      <c r="R217" s="4">
        <v>-0.84552400000000005</v>
      </c>
      <c r="S217" s="4">
        <v>0.68354000000000004</v>
      </c>
      <c r="T217" s="4">
        <v>-1.392857</v>
      </c>
    </row>
    <row r="218" spans="1:20" ht="18">
      <c r="A218" s="2">
        <f t="shared" si="99"/>
        <v>217</v>
      </c>
      <c r="B218" s="7" t="s">
        <v>1086</v>
      </c>
      <c r="I218" s="15" t="s">
        <v>239</v>
      </c>
      <c r="J218" s="15">
        <v>216</v>
      </c>
      <c r="K218" s="4">
        <v>2.4243800000000002</v>
      </c>
      <c r="L218" s="4">
        <v>-0.50441000000000003</v>
      </c>
      <c r="M218" s="4">
        <v>-0.29535699999999998</v>
      </c>
      <c r="N218" s="4">
        <v>-5.5919000000000003E-2</v>
      </c>
      <c r="O218" s="4">
        <v>-0.94627700000000003</v>
      </c>
      <c r="P218" s="4">
        <v>-1.428946</v>
      </c>
      <c r="Q218" s="4">
        <v>2.32E-3</v>
      </c>
      <c r="R218" s="4">
        <v>0.12422</v>
      </c>
      <c r="S218" s="4">
        <v>0.56889400000000001</v>
      </c>
      <c r="T218" s="4">
        <v>1.3463000000000001</v>
      </c>
    </row>
    <row r="219" spans="1:20" ht="18">
      <c r="A219" s="2">
        <f t="shared" si="99"/>
        <v>218</v>
      </c>
      <c r="B219" s="7" t="s">
        <v>1087</v>
      </c>
      <c r="I219" s="15" t="s">
        <v>240</v>
      </c>
      <c r="J219" s="15">
        <v>217</v>
      </c>
      <c r="K219" s="4">
        <v>0.92810800000000004</v>
      </c>
      <c r="L219" s="4">
        <v>0.70843800000000001</v>
      </c>
      <c r="M219" s="4">
        <v>-0.78242400000000001</v>
      </c>
      <c r="N219" s="4">
        <v>0.93665399999999999</v>
      </c>
      <c r="O219" s="4">
        <v>-0.97618799999999994</v>
      </c>
      <c r="P219" s="4">
        <v>-2.0503830000000001</v>
      </c>
      <c r="Q219" s="4">
        <v>0.44055499999999997</v>
      </c>
      <c r="R219" s="4">
        <v>0.15797700000000001</v>
      </c>
      <c r="S219" s="4">
        <v>0.64491600000000004</v>
      </c>
      <c r="T219" s="4">
        <v>2.235023</v>
      </c>
    </row>
    <row r="220" spans="1:20" ht="18">
      <c r="A220" s="2">
        <f t="shared" si="99"/>
        <v>219</v>
      </c>
      <c r="B220" s="7" t="s">
        <v>1088</v>
      </c>
      <c r="I220" s="15" t="s">
        <v>241</v>
      </c>
      <c r="J220" s="15">
        <v>218</v>
      </c>
      <c r="K220" s="4">
        <v>-2.5736089999999998</v>
      </c>
      <c r="L220" s="4">
        <v>-0.833063</v>
      </c>
      <c r="M220" s="4">
        <v>5.2791999999999999E-2</v>
      </c>
      <c r="N220" s="4">
        <v>-1.012448</v>
      </c>
      <c r="O220" s="4">
        <v>-1.94045</v>
      </c>
      <c r="P220" s="4">
        <v>0.23013400000000001</v>
      </c>
      <c r="Q220" s="4">
        <v>-0.81886300000000001</v>
      </c>
      <c r="R220" s="4">
        <v>-1.282681</v>
      </c>
      <c r="S220" s="4">
        <v>1.6272930000000001</v>
      </c>
      <c r="T220" s="4">
        <v>-1.3903859999999999</v>
      </c>
    </row>
    <row r="221" spans="1:20" ht="18">
      <c r="A221" s="2">
        <f t="shared" si="99"/>
        <v>220</v>
      </c>
      <c r="B221" s="7" t="s">
        <v>1089</v>
      </c>
      <c r="I221" s="15" t="s">
        <v>242</v>
      </c>
      <c r="J221" s="15">
        <v>219</v>
      </c>
      <c r="K221" s="4">
        <v>-0.166576</v>
      </c>
      <c r="L221" s="4">
        <v>-0.675763</v>
      </c>
      <c r="M221" s="4">
        <v>-0.81398899999999996</v>
      </c>
      <c r="N221" s="4">
        <v>1.3657969999999999</v>
      </c>
      <c r="O221" s="4">
        <v>1.0005500000000001</v>
      </c>
      <c r="P221" s="4">
        <v>-0.84270500000000004</v>
      </c>
      <c r="Q221" s="4">
        <v>0.36512899999999998</v>
      </c>
      <c r="R221" s="4">
        <v>-0.79203500000000004</v>
      </c>
      <c r="S221" s="4">
        <v>-9.0783000000000003E-2</v>
      </c>
      <c r="T221" s="4">
        <v>0.48628300000000002</v>
      </c>
    </row>
    <row r="222" spans="1:20" ht="18">
      <c r="A222" s="2">
        <f t="shared" si="99"/>
        <v>221</v>
      </c>
      <c r="B222" s="7" t="s">
        <v>1090</v>
      </c>
      <c r="I222" s="15" t="s">
        <v>243</v>
      </c>
      <c r="J222" s="15">
        <v>220</v>
      </c>
      <c r="K222" s="4">
        <v>-2.2406600000000001</v>
      </c>
      <c r="L222" s="4">
        <v>-1.0411159999999999</v>
      </c>
      <c r="M222" s="4">
        <v>1.9495169999999999</v>
      </c>
      <c r="N222" s="4">
        <v>-0.67091500000000004</v>
      </c>
      <c r="O222" s="4">
        <v>1.024543</v>
      </c>
      <c r="P222" s="4">
        <v>-2.4189099999999999</v>
      </c>
      <c r="Q222" s="4">
        <v>0.39097799999999999</v>
      </c>
      <c r="R222" s="4">
        <v>0.19411400000000001</v>
      </c>
      <c r="S222" s="4">
        <v>-0.71095399999999997</v>
      </c>
      <c r="T222" s="4">
        <v>0.48509000000000002</v>
      </c>
    </row>
    <row r="223" spans="1:20" ht="18">
      <c r="A223" s="2">
        <f t="shared" si="99"/>
        <v>222</v>
      </c>
      <c r="B223" s="7" t="s">
        <v>1091</v>
      </c>
      <c r="I223" s="15" t="s">
        <v>244</v>
      </c>
      <c r="J223" s="15">
        <v>221</v>
      </c>
      <c r="K223" s="4">
        <v>-0.63760399999999995</v>
      </c>
      <c r="L223" s="4">
        <v>-0.15357499999999999</v>
      </c>
      <c r="M223" s="4">
        <v>-0.75521499999999997</v>
      </c>
      <c r="N223" s="4">
        <v>1.284192</v>
      </c>
      <c r="O223" s="4">
        <v>-1.4231039999999999</v>
      </c>
      <c r="P223" s="4">
        <v>-1.456531</v>
      </c>
      <c r="Q223" s="4">
        <v>-0.47169100000000003</v>
      </c>
      <c r="R223" s="4">
        <v>-2.3138920000000001</v>
      </c>
      <c r="S223" s="4">
        <v>-0.145425</v>
      </c>
      <c r="T223" s="4">
        <v>0.291792</v>
      </c>
    </row>
    <row r="224" spans="1:20" ht="18">
      <c r="A224" s="2">
        <f t="shared" si="99"/>
        <v>223</v>
      </c>
      <c r="B224" s="7" t="s">
        <v>1092</v>
      </c>
      <c r="I224" s="15" t="s">
        <v>245</v>
      </c>
      <c r="J224" s="15">
        <v>222</v>
      </c>
      <c r="K224" s="4">
        <v>0.122775</v>
      </c>
      <c r="L224" s="4">
        <v>-0.51785499999999995</v>
      </c>
      <c r="M224" s="4">
        <v>-1.0832839999999999</v>
      </c>
      <c r="N224" s="4">
        <v>-1.9653229999999999</v>
      </c>
      <c r="O224" s="4">
        <v>-0.64151000000000002</v>
      </c>
      <c r="P224" s="4">
        <v>-0.107932</v>
      </c>
      <c r="Q224" s="4">
        <v>3.6892000000000001E-2</v>
      </c>
      <c r="R224" s="4">
        <v>3.2857999999999998E-2</v>
      </c>
      <c r="S224" s="4">
        <v>-0.15112</v>
      </c>
      <c r="T224" s="4">
        <v>-0.92198500000000005</v>
      </c>
    </row>
    <row r="225" spans="1:20" ht="18">
      <c r="A225" s="2">
        <f t="shared" si="99"/>
        <v>224</v>
      </c>
      <c r="B225" s="7" t="s">
        <v>1093</v>
      </c>
      <c r="I225" s="15" t="s">
        <v>246</v>
      </c>
      <c r="J225" s="15">
        <v>223</v>
      </c>
      <c r="K225" s="4">
        <v>0.81376199999999999</v>
      </c>
      <c r="L225" s="4">
        <v>-2.2202510000000002</v>
      </c>
      <c r="M225" s="4">
        <v>1.1016349999999999</v>
      </c>
      <c r="N225" s="4">
        <v>-1.0261229999999999</v>
      </c>
      <c r="O225" s="4">
        <v>0.98617999999999995</v>
      </c>
      <c r="P225" s="4">
        <v>0.84806300000000001</v>
      </c>
      <c r="Q225" s="4">
        <v>-2.7574550000000002</v>
      </c>
      <c r="R225" s="4">
        <v>-0.22659399999999999</v>
      </c>
      <c r="S225" s="4">
        <v>-1.092317</v>
      </c>
      <c r="T225" s="4">
        <v>-1.228397</v>
      </c>
    </row>
    <row r="226" spans="1:20" ht="18">
      <c r="A226" s="2">
        <f t="shared" si="99"/>
        <v>225</v>
      </c>
      <c r="B226" s="7" t="s">
        <v>1094</v>
      </c>
      <c r="I226" s="15" t="s">
        <v>247</v>
      </c>
      <c r="J226" s="15">
        <v>224</v>
      </c>
      <c r="K226" s="4">
        <v>1.2494479999999999</v>
      </c>
      <c r="L226" s="4">
        <v>-0.976719</v>
      </c>
      <c r="M226" s="4">
        <v>1.053558</v>
      </c>
      <c r="N226" s="4">
        <v>0.43225999999999998</v>
      </c>
      <c r="O226" s="4">
        <v>1.484728</v>
      </c>
      <c r="P226" s="4">
        <v>0.497477</v>
      </c>
      <c r="Q226" s="4">
        <v>0.31880599999999998</v>
      </c>
      <c r="R226" s="4">
        <v>-2.3159130000000001</v>
      </c>
      <c r="S226" s="4">
        <v>0.34104600000000002</v>
      </c>
      <c r="T226" s="4">
        <v>1.654512</v>
      </c>
    </row>
    <row r="227" spans="1:20" ht="18">
      <c r="A227" s="2">
        <f t="shared" si="99"/>
        <v>226</v>
      </c>
      <c r="B227" s="7" t="s">
        <v>1095</v>
      </c>
      <c r="I227" s="15" t="s">
        <v>248</v>
      </c>
      <c r="J227" s="15">
        <v>225</v>
      </c>
      <c r="K227" s="4">
        <v>-0.46030799999999999</v>
      </c>
      <c r="L227" s="4">
        <v>0.54976599999999998</v>
      </c>
      <c r="M227" s="4">
        <v>-1.6127339999999999</v>
      </c>
      <c r="N227" s="4">
        <v>-0.12346699999999999</v>
      </c>
      <c r="O227" s="4">
        <v>-0.494782</v>
      </c>
      <c r="P227" s="4">
        <v>0.40241500000000002</v>
      </c>
      <c r="Q227" s="4">
        <v>-0.199744</v>
      </c>
      <c r="R227" s="4">
        <v>-0.62239199999999995</v>
      </c>
      <c r="S227" s="4">
        <v>0.25339499999999998</v>
      </c>
      <c r="T227" s="4">
        <v>0.93054700000000001</v>
      </c>
    </row>
    <row r="228" spans="1:20" ht="18">
      <c r="A228" s="2">
        <f t="shared" si="99"/>
        <v>227</v>
      </c>
      <c r="B228" s="7" t="s">
        <v>1096</v>
      </c>
      <c r="I228" s="15" t="s">
        <v>249</v>
      </c>
      <c r="J228" s="15">
        <v>226</v>
      </c>
      <c r="K228" s="4">
        <v>-0.35693000000000003</v>
      </c>
      <c r="L228" s="4">
        <v>-0.77069100000000001</v>
      </c>
      <c r="M228" s="4">
        <v>-1.141365</v>
      </c>
      <c r="N228" s="4">
        <v>0.42694900000000002</v>
      </c>
      <c r="O228" s="4">
        <v>-0.63892899999999997</v>
      </c>
      <c r="P228" s="4">
        <v>1.7747630000000001</v>
      </c>
      <c r="Q228" s="4">
        <v>0.14891699999999999</v>
      </c>
      <c r="R228" s="4">
        <v>-0.371587</v>
      </c>
      <c r="S228" s="4">
        <v>3.1195000000000001E-2</v>
      </c>
      <c r="T228" s="4">
        <v>0.14940899999999999</v>
      </c>
    </row>
    <row r="229" spans="1:20" ht="18">
      <c r="A229" s="2">
        <f t="shared" si="99"/>
        <v>228</v>
      </c>
      <c r="B229" s="7" t="s">
        <v>1097</v>
      </c>
      <c r="I229" s="15" t="s">
        <v>250</v>
      </c>
      <c r="J229" s="15">
        <v>227</v>
      </c>
      <c r="K229" s="4">
        <v>-9.41E-4</v>
      </c>
      <c r="L229" s="4">
        <v>0.78936700000000004</v>
      </c>
      <c r="M229" s="4">
        <v>0.93098599999999998</v>
      </c>
      <c r="N229" s="4">
        <v>0.63973000000000002</v>
      </c>
      <c r="O229" s="4">
        <v>9.4523999999999997E-2</v>
      </c>
      <c r="P229" s="4">
        <v>-0.50453099999999995</v>
      </c>
      <c r="Q229" s="4">
        <v>-0.70161499999999999</v>
      </c>
      <c r="R229" s="4">
        <v>0.73080400000000001</v>
      </c>
      <c r="S229" s="4">
        <v>-0.83707399999999998</v>
      </c>
      <c r="T229" s="4">
        <v>2.1346790000000002</v>
      </c>
    </row>
    <row r="230" spans="1:20" ht="18">
      <c r="A230" s="2">
        <f t="shared" si="99"/>
        <v>229</v>
      </c>
      <c r="B230" s="7" t="s">
        <v>1098</v>
      </c>
      <c r="I230" s="15" t="s">
        <v>251</v>
      </c>
      <c r="J230" s="15">
        <v>228</v>
      </c>
      <c r="K230" s="4">
        <v>9.1202000000000005E-2</v>
      </c>
      <c r="L230" s="4">
        <v>2.620063</v>
      </c>
      <c r="M230" s="4">
        <v>-0.90652500000000003</v>
      </c>
      <c r="N230" s="4">
        <v>-6.7560999999999996E-2</v>
      </c>
      <c r="O230" s="4">
        <v>-1.7607600000000001</v>
      </c>
      <c r="P230" s="4">
        <v>-0.75328399999999995</v>
      </c>
      <c r="Q230" s="4">
        <v>-0.409132</v>
      </c>
      <c r="R230" s="4">
        <v>2.2040600000000001</v>
      </c>
      <c r="S230" s="4">
        <v>6.4364000000000005E-2</v>
      </c>
      <c r="T230" s="4">
        <v>0.43102099999999999</v>
      </c>
    </row>
    <row r="231" spans="1:20" ht="18">
      <c r="A231" s="2">
        <f t="shared" si="99"/>
        <v>230</v>
      </c>
      <c r="B231" s="7" t="s">
        <v>1099</v>
      </c>
      <c r="I231" s="15" t="s">
        <v>252</v>
      </c>
      <c r="J231" s="15">
        <v>229</v>
      </c>
      <c r="K231" s="4">
        <v>-0.279727</v>
      </c>
      <c r="L231" s="4">
        <v>-0.82675299999999996</v>
      </c>
      <c r="M231" s="4">
        <v>-0.47287000000000001</v>
      </c>
      <c r="N231" s="4">
        <v>-1.5895790000000001</v>
      </c>
      <c r="O231" s="4">
        <v>4.4341999999999999E-2</v>
      </c>
      <c r="P231" s="4">
        <v>0.393509</v>
      </c>
      <c r="Q231" s="4">
        <v>-0.84601099999999996</v>
      </c>
      <c r="R231" s="4">
        <v>6.7426E-2</v>
      </c>
      <c r="S231" s="4">
        <v>-1.3101739999999999</v>
      </c>
      <c r="T231" s="4">
        <v>-0.75441499999999995</v>
      </c>
    </row>
    <row r="232" spans="1:20" ht="18">
      <c r="A232" s="2">
        <f t="shared" si="99"/>
        <v>231</v>
      </c>
      <c r="B232" s="7" t="s">
        <v>1100</v>
      </c>
      <c r="I232" s="15" t="s">
        <v>253</v>
      </c>
      <c r="J232" s="15">
        <v>230</v>
      </c>
      <c r="K232" s="4">
        <v>-0.611259</v>
      </c>
      <c r="L232" s="4">
        <v>-0.78337599999999996</v>
      </c>
      <c r="M232" s="4">
        <v>-1.8326039999999999</v>
      </c>
      <c r="N232" s="4">
        <v>1.643745</v>
      </c>
      <c r="O232" s="4">
        <v>-0.83415700000000004</v>
      </c>
      <c r="P232" s="4">
        <v>-1.7286729999999999</v>
      </c>
      <c r="Q232" s="4">
        <v>1.3574759999999999</v>
      </c>
      <c r="R232" s="4">
        <v>-0.23308599999999999</v>
      </c>
      <c r="S232" s="4">
        <v>1.0980049999999999</v>
      </c>
      <c r="T232" s="4">
        <v>-0.130631</v>
      </c>
    </row>
    <row r="233" spans="1:20" ht="18">
      <c r="A233" s="2">
        <f t="shared" si="99"/>
        <v>232</v>
      </c>
      <c r="B233" s="7" t="s">
        <v>1101</v>
      </c>
      <c r="I233" s="15" t="s">
        <v>254</v>
      </c>
      <c r="J233" s="15">
        <v>231</v>
      </c>
      <c r="K233" s="4">
        <v>0.28501900000000002</v>
      </c>
      <c r="L233" s="4">
        <v>-1.103998</v>
      </c>
      <c r="M233" s="4">
        <v>-1.5912569999999999</v>
      </c>
      <c r="N233" s="4">
        <v>-0.428929</v>
      </c>
      <c r="O233" s="4">
        <v>0.65576100000000004</v>
      </c>
      <c r="P233" s="4">
        <v>-0.31239</v>
      </c>
      <c r="Q233" s="4">
        <v>-1.227131</v>
      </c>
      <c r="R233" s="4">
        <v>0.89850399999999997</v>
      </c>
      <c r="S233" s="4">
        <v>1.164374</v>
      </c>
      <c r="T233" s="4">
        <v>-0.24641199999999999</v>
      </c>
    </row>
    <row r="234" spans="1:20" ht="18">
      <c r="A234" s="2">
        <f t="shared" si="99"/>
        <v>233</v>
      </c>
      <c r="B234" s="7" t="s">
        <v>1102</v>
      </c>
      <c r="I234" s="15" t="s">
        <v>255</v>
      </c>
      <c r="J234" s="15">
        <v>232</v>
      </c>
      <c r="K234" s="4">
        <v>-1.1257839999999999</v>
      </c>
      <c r="L234" s="4">
        <v>0.139732</v>
      </c>
      <c r="M234" s="4">
        <v>-0.290273</v>
      </c>
      <c r="N234" s="4">
        <v>3.5055000000000003E-2</v>
      </c>
      <c r="O234" s="4">
        <v>6.5608E-2</v>
      </c>
      <c r="P234" s="4">
        <v>-0.25204500000000002</v>
      </c>
      <c r="Q234" s="4">
        <v>-1.4924360000000001</v>
      </c>
      <c r="R234" s="4">
        <v>1.9136249999999999</v>
      </c>
      <c r="S234" s="4">
        <v>-0.67622599999999999</v>
      </c>
      <c r="T234" s="4">
        <v>-0.94153799999999999</v>
      </c>
    </row>
    <row r="235" spans="1:20" ht="18">
      <c r="A235" s="2">
        <f t="shared" si="99"/>
        <v>234</v>
      </c>
      <c r="B235" s="7" t="s">
        <v>1103</v>
      </c>
      <c r="I235" s="15" t="s">
        <v>256</v>
      </c>
      <c r="J235" s="15">
        <v>233</v>
      </c>
      <c r="K235" s="4">
        <v>-3.9966000000000002E-2</v>
      </c>
      <c r="L235" s="4">
        <v>0.79056099999999996</v>
      </c>
      <c r="M235" s="4">
        <v>0.57416599999999995</v>
      </c>
      <c r="N235" s="4">
        <v>1.8744E-2</v>
      </c>
      <c r="O235" s="4">
        <v>0.71967000000000003</v>
      </c>
      <c r="P235" s="4">
        <v>0.32303799999999999</v>
      </c>
      <c r="Q235" s="4">
        <v>2.496375</v>
      </c>
      <c r="R235" s="4">
        <v>-0.77728900000000001</v>
      </c>
      <c r="S235" s="4">
        <v>1.261145</v>
      </c>
      <c r="T235" s="4">
        <v>-0.82319399999999998</v>
      </c>
    </row>
    <row r="236" spans="1:20" ht="18">
      <c r="A236" s="2">
        <f t="shared" si="99"/>
        <v>235</v>
      </c>
      <c r="B236" s="7" t="s">
        <v>1104</v>
      </c>
      <c r="I236" s="15" t="s">
        <v>257</v>
      </c>
      <c r="J236" s="15">
        <v>234</v>
      </c>
      <c r="K236" s="4">
        <v>-2.2081810000000002</v>
      </c>
      <c r="L236" s="4">
        <v>-5.45E-3</v>
      </c>
      <c r="M236" s="4">
        <v>-0.82067000000000001</v>
      </c>
      <c r="N236" s="4">
        <v>-0.94371099999999997</v>
      </c>
      <c r="O236" s="4">
        <v>1.416331</v>
      </c>
      <c r="P236" s="4">
        <v>-1.3547E-2</v>
      </c>
      <c r="Q236" s="4">
        <v>-0.48450799999999999</v>
      </c>
      <c r="R236" s="4">
        <v>0.50708500000000001</v>
      </c>
      <c r="S236" s="4">
        <v>0.43035699999999999</v>
      </c>
      <c r="T236" s="4">
        <v>-1.1357980000000001</v>
      </c>
    </row>
    <row r="237" spans="1:20" ht="18">
      <c r="A237" s="2">
        <f t="shared" si="99"/>
        <v>236</v>
      </c>
      <c r="B237" s="7" t="s">
        <v>1105</v>
      </c>
      <c r="I237" s="15" t="s">
        <v>258</v>
      </c>
      <c r="J237" s="15">
        <v>235</v>
      </c>
      <c r="K237" s="4">
        <v>0.49249399999999999</v>
      </c>
      <c r="L237" s="4">
        <v>8.7585999999999997E-2</v>
      </c>
      <c r="M237" s="4">
        <v>0.630548</v>
      </c>
      <c r="N237" s="4">
        <v>-5.3052000000000002E-2</v>
      </c>
      <c r="O237" s="4">
        <v>0.36992900000000001</v>
      </c>
      <c r="P237" s="4">
        <v>-0.58805200000000002</v>
      </c>
      <c r="Q237" s="4">
        <v>-0.10752100000000001</v>
      </c>
      <c r="R237" s="4">
        <v>-0.56979400000000002</v>
      </c>
      <c r="S237" s="4">
        <v>-0.71584099999999995</v>
      </c>
      <c r="T237" s="4">
        <v>8.7465000000000001E-2</v>
      </c>
    </row>
    <row r="238" spans="1:20" ht="18">
      <c r="A238" s="2">
        <f t="shared" si="99"/>
        <v>237</v>
      </c>
      <c r="B238" s="7" t="s">
        <v>1106</v>
      </c>
      <c r="I238" s="15" t="s">
        <v>259</v>
      </c>
      <c r="J238" s="15">
        <v>236</v>
      </c>
      <c r="K238" s="4">
        <v>0.42937399999999998</v>
      </c>
      <c r="L238" s="4">
        <v>-0.59195799999999998</v>
      </c>
      <c r="M238" s="4">
        <v>-2.72871</v>
      </c>
      <c r="N238" s="4">
        <v>0.17522499999999999</v>
      </c>
      <c r="O238" s="4">
        <v>0.53953700000000004</v>
      </c>
      <c r="P238" s="4">
        <v>-1.3319859999999999</v>
      </c>
      <c r="Q238" s="4">
        <v>-1.0508219999999999</v>
      </c>
      <c r="R238" s="4">
        <v>1.5194019999999999</v>
      </c>
      <c r="S238" s="4">
        <v>-0.66230199999999995</v>
      </c>
      <c r="T238" s="4">
        <v>-1.6539410000000001</v>
      </c>
    </row>
    <row r="239" spans="1:20" ht="18">
      <c r="A239" s="2">
        <f t="shared" si="99"/>
        <v>238</v>
      </c>
      <c r="B239" s="7" t="s">
        <v>1107</v>
      </c>
      <c r="I239" s="15" t="s">
        <v>260</v>
      </c>
      <c r="J239" s="15">
        <v>237</v>
      </c>
      <c r="K239" s="4">
        <v>0.28151399999999999</v>
      </c>
      <c r="L239" s="4">
        <v>-1.224658</v>
      </c>
      <c r="M239" s="4">
        <v>1.331499</v>
      </c>
      <c r="N239" s="4">
        <v>1.4375610000000001</v>
      </c>
      <c r="O239" s="4">
        <v>-0.486267</v>
      </c>
      <c r="P239" s="4">
        <v>1.5673159999999999</v>
      </c>
      <c r="Q239" s="4">
        <v>0.490448</v>
      </c>
      <c r="R239" s="4">
        <v>0.78471900000000006</v>
      </c>
      <c r="S239" s="4">
        <v>-0.25050800000000001</v>
      </c>
      <c r="T239" s="4">
        <v>-0.83959399999999995</v>
      </c>
    </row>
    <row r="240" spans="1:20" ht="18">
      <c r="A240" s="2">
        <f t="shared" si="99"/>
        <v>239</v>
      </c>
      <c r="B240" s="7" t="s">
        <v>1108</v>
      </c>
      <c r="I240" s="15" t="s">
        <v>261</v>
      </c>
      <c r="J240" s="15">
        <v>238</v>
      </c>
      <c r="K240" s="4">
        <v>0.50575700000000001</v>
      </c>
      <c r="L240" s="4">
        <v>0.70717399999999997</v>
      </c>
      <c r="M240" s="4">
        <v>0.32133299999999998</v>
      </c>
      <c r="N240" s="4">
        <v>-0.21185100000000001</v>
      </c>
      <c r="O240" s="4">
        <v>-0.38964799999999999</v>
      </c>
      <c r="P240" s="4">
        <v>-1.9094439999999999</v>
      </c>
      <c r="Q240" s="4">
        <v>0.71587400000000001</v>
      </c>
      <c r="R240" s="4">
        <v>1.419807</v>
      </c>
      <c r="S240" s="4">
        <v>1.178698</v>
      </c>
      <c r="T240" s="4">
        <v>-0.342279</v>
      </c>
    </row>
    <row r="241" spans="1:20" ht="18">
      <c r="A241" s="2">
        <f t="shared" si="99"/>
        <v>240</v>
      </c>
      <c r="B241" s="7" t="s">
        <v>1109</v>
      </c>
      <c r="I241" s="15" t="s">
        <v>262</v>
      </c>
      <c r="J241" s="15">
        <v>239</v>
      </c>
      <c r="K241" s="4">
        <v>-1.4610559999999999</v>
      </c>
      <c r="L241" s="4">
        <v>0.14548900000000001</v>
      </c>
      <c r="M241" s="4">
        <v>0.44993499999999997</v>
      </c>
      <c r="N241" s="4">
        <v>1.682572</v>
      </c>
      <c r="O241" s="4">
        <v>-0.44863500000000001</v>
      </c>
      <c r="P241" s="4">
        <v>1.249449</v>
      </c>
      <c r="Q241" s="4">
        <v>0.113915</v>
      </c>
      <c r="R241" s="4">
        <v>-0.19780900000000001</v>
      </c>
      <c r="S241" s="4">
        <v>1.6183719999999999</v>
      </c>
      <c r="T241" s="4">
        <v>0.494369</v>
      </c>
    </row>
    <row r="242" spans="1:20" ht="18">
      <c r="A242" s="2">
        <f t="shared" si="99"/>
        <v>241</v>
      </c>
      <c r="B242" s="7" t="s">
        <v>1110</v>
      </c>
      <c r="I242" s="15" t="s">
        <v>263</v>
      </c>
      <c r="J242" s="15">
        <v>240</v>
      </c>
      <c r="K242" s="4">
        <v>-0.26844899999999999</v>
      </c>
      <c r="L242" s="4">
        <v>-0.15451899999999999</v>
      </c>
      <c r="M242" s="4">
        <v>1.313018</v>
      </c>
      <c r="N242" s="4">
        <v>-0.44944200000000001</v>
      </c>
      <c r="O242" s="4">
        <v>1.469179</v>
      </c>
      <c r="P242" s="4">
        <v>0.22664400000000001</v>
      </c>
      <c r="Q242" s="4">
        <v>-0.222557</v>
      </c>
      <c r="R242" s="4">
        <v>1.1848050000000001</v>
      </c>
      <c r="S242" s="4">
        <v>-0.40318300000000001</v>
      </c>
      <c r="T242" s="4">
        <v>-0.30833899999999997</v>
      </c>
    </row>
    <row r="243" spans="1:20" ht="18">
      <c r="A243" s="2">
        <f t="shared" si="99"/>
        <v>242</v>
      </c>
      <c r="B243" s="7" t="s">
        <v>1111</v>
      </c>
      <c r="I243" s="15" t="s">
        <v>264</v>
      </c>
      <c r="J243" s="15">
        <v>241</v>
      </c>
      <c r="K243" s="4">
        <v>-2.3102130000000001</v>
      </c>
      <c r="L243" s="4">
        <v>-0.86814400000000003</v>
      </c>
      <c r="M243" s="4">
        <v>0.13225500000000001</v>
      </c>
      <c r="N243" s="4">
        <v>1.085696</v>
      </c>
      <c r="O243" s="4">
        <v>0.92570399999999997</v>
      </c>
      <c r="P243" s="4">
        <v>0.11598899999999999</v>
      </c>
      <c r="Q243" s="4">
        <v>-0.67526600000000003</v>
      </c>
      <c r="R243" s="4">
        <v>1.0973930000000001</v>
      </c>
      <c r="S243" s="4">
        <v>2.3852150000000001</v>
      </c>
      <c r="T243" s="4">
        <v>0.53573400000000004</v>
      </c>
    </row>
    <row r="244" spans="1:20" ht="18">
      <c r="A244" s="2">
        <f t="shared" si="99"/>
        <v>243</v>
      </c>
      <c r="B244" s="7" t="s">
        <v>1112</v>
      </c>
      <c r="I244" s="15" t="s">
        <v>265</v>
      </c>
      <c r="J244" s="15">
        <v>242</v>
      </c>
      <c r="K244" s="4">
        <v>-0.57005700000000004</v>
      </c>
      <c r="L244" s="4">
        <v>0.81503599999999998</v>
      </c>
      <c r="M244" s="4">
        <v>-2.124301</v>
      </c>
      <c r="N244" s="4">
        <v>1.9151020000000001</v>
      </c>
      <c r="O244" s="4">
        <v>0.11949899999999999</v>
      </c>
      <c r="P244" s="4">
        <v>-2.2877000000000002E-2</v>
      </c>
      <c r="Q244" s="4">
        <v>0.37534600000000001</v>
      </c>
      <c r="R244" s="4">
        <v>-1.6522650000000001</v>
      </c>
      <c r="S244" s="4">
        <v>-0.77901100000000001</v>
      </c>
      <c r="T244" s="4">
        <v>9.1697000000000001E-2</v>
      </c>
    </row>
    <row r="245" spans="1:20" ht="18">
      <c r="A245" s="2">
        <f t="shared" si="99"/>
        <v>244</v>
      </c>
      <c r="B245" s="7" t="s">
        <v>1113</v>
      </c>
      <c r="I245" s="15" t="s">
        <v>266</v>
      </c>
      <c r="J245" s="15">
        <v>243</v>
      </c>
      <c r="K245" s="4">
        <v>-0.52344199999999996</v>
      </c>
      <c r="L245" s="4">
        <v>-0.20483999999999999</v>
      </c>
      <c r="M245" s="4">
        <v>-1.3300350000000001</v>
      </c>
      <c r="N245" s="4">
        <v>-1.1407130000000001</v>
      </c>
      <c r="O245" s="4">
        <v>-1.125731</v>
      </c>
      <c r="P245" s="4">
        <v>0.41382000000000002</v>
      </c>
      <c r="Q245" s="4">
        <v>2.7497000000000001E-2</v>
      </c>
      <c r="R245" s="4">
        <v>-1.8783479999999999</v>
      </c>
      <c r="S245" s="4">
        <v>0.87882000000000005</v>
      </c>
      <c r="T245" s="4">
        <v>0.22845499999999999</v>
      </c>
    </row>
    <row r="246" spans="1:20" ht="18">
      <c r="A246" s="2">
        <f t="shared" si="99"/>
        <v>245</v>
      </c>
      <c r="B246" s="7" t="s">
        <v>1114</v>
      </c>
      <c r="I246" s="15" t="s">
        <v>267</v>
      </c>
      <c r="J246" s="15">
        <v>244</v>
      </c>
      <c r="K246" s="4">
        <v>-0.77571900000000005</v>
      </c>
      <c r="L246" s="4">
        <v>0.48523899999999998</v>
      </c>
      <c r="M246" s="4">
        <v>0.94870399999999999</v>
      </c>
      <c r="N246" s="4">
        <v>0.218976</v>
      </c>
      <c r="O246" s="4">
        <v>0.29980000000000001</v>
      </c>
      <c r="P246" s="4">
        <v>0.744452</v>
      </c>
      <c r="Q246" s="4">
        <v>-1.272343</v>
      </c>
      <c r="R246" s="4">
        <v>0.830897</v>
      </c>
      <c r="S246" s="4">
        <v>1.4847790000000001</v>
      </c>
      <c r="T246" s="4">
        <v>-0.43113800000000002</v>
      </c>
    </row>
    <row r="247" spans="1:20" ht="18">
      <c r="A247" s="2">
        <f t="shared" si="99"/>
        <v>246</v>
      </c>
      <c r="B247" s="7" t="s">
        <v>1115</v>
      </c>
      <c r="I247" s="15" t="s">
        <v>268</v>
      </c>
      <c r="J247" s="15">
        <v>245</v>
      </c>
      <c r="K247" s="4">
        <v>-0.39930300000000002</v>
      </c>
      <c r="L247" s="4">
        <v>-0.89843399999999995</v>
      </c>
      <c r="M247" s="4">
        <v>0.472107</v>
      </c>
      <c r="N247" s="4">
        <v>-0.67575200000000002</v>
      </c>
      <c r="O247" s="4">
        <v>-0.62007199999999996</v>
      </c>
      <c r="P247" s="4">
        <v>-2.7068729999999999</v>
      </c>
      <c r="Q247" s="4">
        <v>0.30189700000000003</v>
      </c>
      <c r="R247" s="4">
        <v>-0.466362</v>
      </c>
      <c r="S247" s="4">
        <v>-0.25753900000000002</v>
      </c>
      <c r="T247" s="4">
        <v>1.4696229999999999</v>
      </c>
    </row>
    <row r="248" spans="1:20" ht="18">
      <c r="A248" s="2">
        <f t="shared" si="99"/>
        <v>247</v>
      </c>
      <c r="B248" s="7" t="s">
        <v>1116</v>
      </c>
      <c r="I248" s="15" t="s">
        <v>269</v>
      </c>
      <c r="J248" s="15">
        <v>246</v>
      </c>
      <c r="K248" s="4">
        <v>1.6089150000000001</v>
      </c>
      <c r="L248" s="4">
        <v>-0.61398200000000003</v>
      </c>
      <c r="M248" s="4">
        <v>-0.62098399999999998</v>
      </c>
      <c r="N248" s="4">
        <v>-0.72055100000000005</v>
      </c>
      <c r="O248" s="4">
        <v>0.80333500000000002</v>
      </c>
      <c r="P248" s="4">
        <v>0.24859600000000001</v>
      </c>
      <c r="Q248" s="4">
        <v>0.78361899999999995</v>
      </c>
      <c r="R248" s="4">
        <v>0.13577500000000001</v>
      </c>
      <c r="S248" s="4">
        <v>4.3723999999999999E-2</v>
      </c>
      <c r="T248" s="4">
        <v>0.26199499999999998</v>
      </c>
    </row>
    <row r="249" spans="1:20" ht="18">
      <c r="A249" s="2">
        <f t="shared" si="99"/>
        <v>248</v>
      </c>
      <c r="B249" s="7" t="s">
        <v>1117</v>
      </c>
      <c r="I249" s="15" t="s">
        <v>270</v>
      </c>
      <c r="J249" s="15">
        <v>247</v>
      </c>
      <c r="K249" s="4">
        <v>-0.54641700000000004</v>
      </c>
      <c r="L249" s="4">
        <v>0.17419699999999999</v>
      </c>
      <c r="M249" s="4">
        <v>-0.64025600000000005</v>
      </c>
      <c r="N249" s="4">
        <v>0.30549300000000001</v>
      </c>
      <c r="O249" s="4">
        <v>-0.67244800000000005</v>
      </c>
      <c r="P249" s="4">
        <v>1.7010590000000001</v>
      </c>
      <c r="Q249" s="4">
        <v>-2.9921479999999998</v>
      </c>
      <c r="R249" s="4">
        <v>-1.2121580000000001</v>
      </c>
      <c r="S249" s="4">
        <v>-0.71958200000000005</v>
      </c>
      <c r="T249" s="4">
        <v>-0.399974</v>
      </c>
    </row>
    <row r="250" spans="1:20" ht="18">
      <c r="A250" s="2">
        <f t="shared" si="99"/>
        <v>249</v>
      </c>
      <c r="B250" s="7" t="s">
        <v>1118</v>
      </c>
      <c r="I250" s="15" t="s">
        <v>271</v>
      </c>
      <c r="J250" s="15">
        <v>248</v>
      </c>
      <c r="K250" s="4">
        <v>-0.51549100000000003</v>
      </c>
      <c r="L250" s="4">
        <v>-7.0854E-2</v>
      </c>
      <c r="M250" s="4">
        <v>2.0684999999999999E-2</v>
      </c>
      <c r="N250" s="4">
        <v>2.3745690000000002</v>
      </c>
      <c r="O250" s="4">
        <v>0.442996</v>
      </c>
      <c r="P250" s="4">
        <v>0.77527199999999996</v>
      </c>
      <c r="Q250" s="4">
        <v>1.37703</v>
      </c>
      <c r="R250" s="4">
        <v>0.92742199999999997</v>
      </c>
      <c r="S250" s="4">
        <v>-6.7707000000000003E-2</v>
      </c>
      <c r="T250" s="4">
        <v>-1.4834719999999999</v>
      </c>
    </row>
    <row r="251" spans="1:20" ht="18">
      <c r="A251" s="2">
        <f t="shared" si="99"/>
        <v>250</v>
      </c>
      <c r="B251" s="7" t="s">
        <v>1119</v>
      </c>
      <c r="I251" s="15" t="s">
        <v>272</v>
      </c>
      <c r="J251" s="15">
        <v>249</v>
      </c>
      <c r="K251" s="4">
        <v>-1.667745</v>
      </c>
      <c r="L251" s="4">
        <v>-0.34190900000000002</v>
      </c>
      <c r="M251" s="4">
        <v>-1.0064409999999999</v>
      </c>
      <c r="N251" s="4">
        <v>-0.21141099999999999</v>
      </c>
      <c r="O251" s="4">
        <v>-0.73644299999999996</v>
      </c>
      <c r="P251" s="4">
        <v>1.957991</v>
      </c>
      <c r="Q251" s="4">
        <v>1.7104790000000001</v>
      </c>
      <c r="R251" s="4">
        <v>0.40487299999999998</v>
      </c>
      <c r="S251" s="4">
        <v>-3.5694889999999999</v>
      </c>
      <c r="T251" s="4">
        <v>0.79620800000000003</v>
      </c>
    </row>
    <row r="252" spans="1:20" ht="18">
      <c r="A252" s="2">
        <f t="shared" si="99"/>
        <v>251</v>
      </c>
      <c r="B252" s="7" t="s">
        <v>1120</v>
      </c>
      <c r="I252" s="15" t="s">
        <v>273</v>
      </c>
      <c r="J252" s="15">
        <v>250</v>
      </c>
      <c r="K252" s="4">
        <v>1.5319590000000001</v>
      </c>
      <c r="L252" s="4">
        <v>1.397289</v>
      </c>
      <c r="M252" s="4">
        <v>1.1122270000000001</v>
      </c>
      <c r="N252" s="4">
        <v>2.7166549999999998</v>
      </c>
      <c r="O252" s="4">
        <v>-0.31213099999999999</v>
      </c>
      <c r="P252" s="4">
        <v>-1.2286410000000001</v>
      </c>
      <c r="Q252" s="4">
        <v>-0.40305299999999999</v>
      </c>
      <c r="R252" s="4">
        <v>-3.6898E-2</v>
      </c>
      <c r="S252" s="4">
        <v>-0.95055999999999996</v>
      </c>
      <c r="T252" s="4">
        <v>-0.40703699999999998</v>
      </c>
    </row>
    <row r="253" spans="1:20" ht="18">
      <c r="A253" s="2">
        <f t="shared" si="99"/>
        <v>252</v>
      </c>
      <c r="B253" s="7" t="s">
        <v>1121</v>
      </c>
      <c r="I253" s="15" t="s">
        <v>274</v>
      </c>
      <c r="J253" s="15">
        <v>251</v>
      </c>
      <c r="K253" s="4">
        <v>0.42743199999999998</v>
      </c>
      <c r="L253" s="4">
        <v>-2.7996759999999998</v>
      </c>
      <c r="M253" s="4">
        <v>2.0496379999999998</v>
      </c>
      <c r="N253" s="4">
        <v>0.52504300000000004</v>
      </c>
      <c r="O253" s="4">
        <v>-0.67813000000000001</v>
      </c>
      <c r="P253" s="4">
        <v>-0.60942799999999997</v>
      </c>
      <c r="Q253" s="4">
        <v>-0.536995</v>
      </c>
      <c r="R253" s="4">
        <v>-0.29007899999999998</v>
      </c>
      <c r="S253" s="4">
        <v>2.8378209999999999</v>
      </c>
      <c r="T253" s="4">
        <v>-0.31011</v>
      </c>
    </row>
    <row r="254" spans="1:20" ht="18">
      <c r="A254" s="2">
        <f t="shared" si="99"/>
        <v>253</v>
      </c>
      <c r="B254" s="7" t="s">
        <v>1122</v>
      </c>
      <c r="I254" s="15" t="s">
        <v>275</v>
      </c>
      <c r="J254" s="15">
        <v>252</v>
      </c>
      <c r="K254" s="4">
        <v>-0.87708299999999995</v>
      </c>
      <c r="L254" s="4">
        <v>1.5856060000000001</v>
      </c>
      <c r="M254" s="4">
        <v>-3.1022000000000001E-2</v>
      </c>
      <c r="N254" s="4">
        <v>0.14968899999999999</v>
      </c>
      <c r="O254" s="4">
        <v>0.40726400000000001</v>
      </c>
      <c r="P254" s="4">
        <v>-1.041261</v>
      </c>
      <c r="Q254" s="4">
        <v>-0.26707599999999998</v>
      </c>
      <c r="R254" s="4">
        <v>1.012308</v>
      </c>
      <c r="S254" s="4">
        <v>-1.7514860000000001</v>
      </c>
      <c r="T254" s="4">
        <v>-0.13954800000000001</v>
      </c>
    </row>
    <row r="255" spans="1:20" ht="18">
      <c r="A255" s="2">
        <f t="shared" si="99"/>
        <v>254</v>
      </c>
      <c r="B255" s="7" t="s">
        <v>1123</v>
      </c>
      <c r="I255" s="15" t="s">
        <v>276</v>
      </c>
      <c r="J255" s="15">
        <v>253</v>
      </c>
      <c r="K255" s="4">
        <v>0.109875</v>
      </c>
      <c r="L255" s="4">
        <v>-0.35750500000000002</v>
      </c>
      <c r="M255" s="4">
        <v>-0.52202300000000001</v>
      </c>
      <c r="N255" s="4">
        <v>0.72182400000000002</v>
      </c>
      <c r="O255" s="4">
        <v>-1.920712</v>
      </c>
      <c r="P255" s="4">
        <v>-0.30946499999999999</v>
      </c>
      <c r="Q255" s="4">
        <v>-0.412491</v>
      </c>
      <c r="R255" s="4">
        <v>0.19102</v>
      </c>
      <c r="S255" s="4">
        <v>8.8978000000000002E-2</v>
      </c>
      <c r="T255" s="4">
        <v>-0.40883000000000003</v>
      </c>
    </row>
    <row r="256" spans="1:20" ht="18">
      <c r="A256" s="2">
        <f t="shared" si="99"/>
        <v>255</v>
      </c>
      <c r="B256" s="7" t="s">
        <v>1124</v>
      </c>
      <c r="I256" s="15" t="s">
        <v>277</v>
      </c>
      <c r="J256" s="15">
        <v>254</v>
      </c>
      <c r="K256" s="4">
        <v>0.97684000000000004</v>
      </c>
      <c r="L256" s="4">
        <v>0.31513000000000002</v>
      </c>
      <c r="M256" s="4">
        <v>-8.6540000000000002E-3</v>
      </c>
      <c r="N256" s="4">
        <v>-0.89430500000000002</v>
      </c>
      <c r="O256" s="4">
        <v>0.14021700000000001</v>
      </c>
      <c r="P256" s="4">
        <v>-9.5258999999999996E-2</v>
      </c>
      <c r="Q256" s="4">
        <v>0.66038300000000005</v>
      </c>
      <c r="R256" s="4">
        <v>-1.4644649999999999</v>
      </c>
      <c r="S256" s="4">
        <v>-5.8864E-2</v>
      </c>
      <c r="T256" s="4">
        <v>-0.71520700000000004</v>
      </c>
    </row>
    <row r="257" spans="1:20" ht="18">
      <c r="A257" s="2">
        <f t="shared" si="99"/>
        <v>256</v>
      </c>
      <c r="B257" s="7" t="s">
        <v>1125</v>
      </c>
      <c r="I257" s="15" t="s">
        <v>278</v>
      </c>
      <c r="J257" s="15">
        <v>255</v>
      </c>
      <c r="K257" s="4">
        <v>-0.88419199999999998</v>
      </c>
      <c r="L257" s="4">
        <v>0.92101999999999995</v>
      </c>
      <c r="M257" s="4">
        <v>-0.479408</v>
      </c>
      <c r="N257" s="4">
        <v>0.80649700000000002</v>
      </c>
      <c r="O257" s="4">
        <v>-0.68601999999999996</v>
      </c>
      <c r="P257" s="4">
        <v>1.5576970000000001</v>
      </c>
      <c r="Q257" s="4">
        <v>0.54064800000000002</v>
      </c>
      <c r="R257" s="4">
        <v>0.597526</v>
      </c>
      <c r="S257" s="4">
        <v>-1.0172559999999999</v>
      </c>
      <c r="T257" s="4">
        <v>-0.113153</v>
      </c>
    </row>
    <row r="258" spans="1:20" ht="18">
      <c r="A258" s="2">
        <f t="shared" si="99"/>
        <v>257</v>
      </c>
      <c r="B258" s="7" t="s">
        <v>1126</v>
      </c>
      <c r="I258" s="15" t="s">
        <v>279</v>
      </c>
      <c r="J258" s="15">
        <v>256</v>
      </c>
      <c r="K258" s="4">
        <v>0.18208299999999999</v>
      </c>
      <c r="L258" s="4">
        <v>0.48159099999999999</v>
      </c>
      <c r="M258" s="4">
        <v>-1.531488</v>
      </c>
      <c r="N258" s="4">
        <v>-0.74676500000000001</v>
      </c>
      <c r="O258" s="4">
        <v>-0.841198</v>
      </c>
      <c r="P258" s="4">
        <v>0.82984899999999995</v>
      </c>
      <c r="Q258" s="4">
        <v>3.6575000000000003E-2</v>
      </c>
      <c r="R258" s="4">
        <v>-1.5352699999999999</v>
      </c>
      <c r="S258" s="4">
        <v>1.201848</v>
      </c>
      <c r="T258" s="4">
        <v>-0.86412800000000001</v>
      </c>
    </row>
    <row r="259" spans="1:20" ht="18">
      <c r="A259" s="2">
        <f t="shared" ref="A259:A322" si="100">ROW()-1</f>
        <v>258</v>
      </c>
      <c r="B259" s="7" t="s">
        <v>1127</v>
      </c>
      <c r="I259" s="15" t="s">
        <v>280</v>
      </c>
      <c r="J259" s="15">
        <v>257</v>
      </c>
      <c r="K259" s="4">
        <v>0.21062900000000001</v>
      </c>
      <c r="L259" s="4">
        <v>-0.41437299999999999</v>
      </c>
      <c r="M259" s="4">
        <v>-0.41643200000000002</v>
      </c>
      <c r="N259" s="4">
        <v>0.54269199999999995</v>
      </c>
      <c r="O259" s="4">
        <v>0.777505</v>
      </c>
      <c r="P259" s="4">
        <v>-0.44836900000000002</v>
      </c>
      <c r="Q259" s="4">
        <v>1.54908</v>
      </c>
      <c r="R259" s="4">
        <v>-1.038006</v>
      </c>
      <c r="S259" s="4">
        <v>-0.60128599999999999</v>
      </c>
      <c r="T259" s="4">
        <v>1.418633</v>
      </c>
    </row>
    <row r="260" spans="1:20" ht="18">
      <c r="A260" s="2">
        <f t="shared" si="100"/>
        <v>259</v>
      </c>
      <c r="B260" s="7" t="s">
        <v>1128</v>
      </c>
      <c r="I260" s="15" t="s">
        <v>281</v>
      </c>
      <c r="J260" s="15">
        <v>258</v>
      </c>
      <c r="K260" s="4">
        <v>-0.36179299999999998</v>
      </c>
      <c r="L260" s="4">
        <v>-1.5380039999999999</v>
      </c>
      <c r="M260" s="4">
        <v>0.35600399999999999</v>
      </c>
      <c r="N260" s="4">
        <v>0.26005600000000001</v>
      </c>
      <c r="O260" s="4">
        <v>-0.90485400000000005</v>
      </c>
      <c r="P260" s="4">
        <v>-1.986165</v>
      </c>
      <c r="Q260" s="4">
        <v>1.7967029999999999</v>
      </c>
      <c r="R260" s="4">
        <v>-1.2264619999999999</v>
      </c>
      <c r="S260" s="4">
        <v>0.37636999999999998</v>
      </c>
      <c r="T260" s="4">
        <v>0.85255800000000004</v>
      </c>
    </row>
    <row r="261" spans="1:20" ht="18">
      <c r="A261" s="2">
        <f t="shared" si="100"/>
        <v>260</v>
      </c>
      <c r="B261" s="7" t="s">
        <v>1129</v>
      </c>
      <c r="I261" s="15" t="s">
        <v>282</v>
      </c>
      <c r="J261" s="15">
        <v>259</v>
      </c>
      <c r="K261" s="4">
        <v>1.0128870000000001</v>
      </c>
      <c r="L261" s="4">
        <v>0.52559100000000003</v>
      </c>
      <c r="M261" s="4">
        <v>-1.168371</v>
      </c>
      <c r="N261" s="4">
        <v>0.159724</v>
      </c>
      <c r="O261" s="4">
        <v>2.2023600000000001</v>
      </c>
      <c r="P261" s="4">
        <v>0.94554199999999999</v>
      </c>
      <c r="Q261" s="4">
        <v>-1.003652</v>
      </c>
      <c r="R261" s="4">
        <v>0.31014199999999997</v>
      </c>
      <c r="S261" s="4">
        <v>-7.5035000000000004E-2</v>
      </c>
      <c r="T261" s="4">
        <v>-1.6985490000000001</v>
      </c>
    </row>
    <row r="262" spans="1:20" ht="18">
      <c r="A262" s="2">
        <f t="shared" si="100"/>
        <v>261</v>
      </c>
      <c r="B262" s="7" t="s">
        <v>1130</v>
      </c>
      <c r="I262" s="15" t="s">
        <v>283</v>
      </c>
      <c r="J262" s="15">
        <v>260</v>
      </c>
      <c r="K262" s="4">
        <v>0.81838299999999997</v>
      </c>
      <c r="L262" s="4">
        <v>-0.57818199999999997</v>
      </c>
      <c r="M262" s="4">
        <v>1.1908110000000001</v>
      </c>
      <c r="N262" s="4">
        <v>0.28455399999999997</v>
      </c>
      <c r="O262" s="4">
        <v>-1.123656</v>
      </c>
      <c r="P262" s="4">
        <v>-1.05294</v>
      </c>
      <c r="Q262" s="4">
        <v>-0.43665399999999999</v>
      </c>
      <c r="R262" s="4">
        <v>-1.2423219999999999</v>
      </c>
      <c r="S262" s="4">
        <v>0.46968700000000002</v>
      </c>
      <c r="T262" s="4">
        <v>-0.25396200000000002</v>
      </c>
    </row>
    <row r="263" spans="1:20" ht="18">
      <c r="A263" s="2">
        <f t="shared" si="100"/>
        <v>262</v>
      </c>
      <c r="B263" s="7" t="s">
        <v>1131</v>
      </c>
      <c r="I263" s="15" t="s">
        <v>284</v>
      </c>
      <c r="J263" s="15">
        <v>261</v>
      </c>
      <c r="K263" s="4">
        <v>6.8229999999999999E-2</v>
      </c>
      <c r="L263" s="4">
        <v>-0.109817</v>
      </c>
      <c r="M263" s="4">
        <v>6.2780000000000002E-2</v>
      </c>
      <c r="N263" s="4">
        <v>-1.3733839999999999</v>
      </c>
      <c r="O263" s="4">
        <v>-0.74812699999999999</v>
      </c>
      <c r="P263" s="4">
        <v>0.73846500000000004</v>
      </c>
      <c r="Q263" s="4">
        <v>-0.62703699999999996</v>
      </c>
      <c r="R263" s="4">
        <v>1.540316</v>
      </c>
      <c r="S263" s="4">
        <v>1.5880939999999999</v>
      </c>
      <c r="T263" s="4">
        <v>-2.2809550000000001</v>
      </c>
    </row>
    <row r="264" spans="1:20" ht="18">
      <c r="A264" s="2">
        <f t="shared" si="100"/>
        <v>263</v>
      </c>
      <c r="B264" s="7" t="s">
        <v>1132</v>
      </c>
      <c r="I264" s="15" t="s">
        <v>23</v>
      </c>
      <c r="J264" s="15">
        <v>262</v>
      </c>
      <c r="K264" s="4">
        <v>0.69370600000000004</v>
      </c>
      <c r="L264" s="4">
        <v>1.694984</v>
      </c>
      <c r="M264" s="4">
        <v>0.50934400000000002</v>
      </c>
      <c r="N264" s="4">
        <v>-0.53548499999999999</v>
      </c>
      <c r="O264" s="4">
        <v>1.012858</v>
      </c>
      <c r="P264" s="4">
        <v>-0.65816200000000002</v>
      </c>
      <c r="Q264" s="4">
        <v>-0.387602</v>
      </c>
      <c r="R264" s="4">
        <v>1.0595E-2</v>
      </c>
      <c r="S264" s="4">
        <v>-4.2678000000000001E-2</v>
      </c>
      <c r="T264" s="4">
        <v>0.33031700000000003</v>
      </c>
    </row>
    <row r="265" spans="1:20" ht="18">
      <c r="A265" s="2">
        <f t="shared" si="100"/>
        <v>264</v>
      </c>
      <c r="B265" s="7" t="s">
        <v>1133</v>
      </c>
      <c r="I265" s="15" t="s">
        <v>285</v>
      </c>
      <c r="J265" s="15">
        <v>263</v>
      </c>
      <c r="K265" s="4">
        <v>-0.38355899999999998</v>
      </c>
      <c r="L265" s="4">
        <v>0.81931699999999996</v>
      </c>
      <c r="M265" s="4">
        <v>-2.0442100000000001</v>
      </c>
      <c r="N265" s="4">
        <v>7.2332999999999995E-2</v>
      </c>
      <c r="O265" s="4">
        <v>0.27106999999999998</v>
      </c>
      <c r="P265" s="4">
        <v>0.34648000000000001</v>
      </c>
      <c r="Q265" s="4">
        <v>-0.27168500000000001</v>
      </c>
      <c r="R265" s="4">
        <v>-1.752877</v>
      </c>
      <c r="S265" s="4">
        <v>-0.190636</v>
      </c>
      <c r="T265" s="4">
        <v>1.93719</v>
      </c>
    </row>
    <row r="266" spans="1:20" ht="18">
      <c r="A266" s="2">
        <f t="shared" si="100"/>
        <v>265</v>
      </c>
      <c r="B266" s="7" t="s">
        <v>1134</v>
      </c>
      <c r="I266" s="15" t="s">
        <v>286</v>
      </c>
      <c r="J266" s="15">
        <v>264</v>
      </c>
      <c r="K266" s="4">
        <v>-1.154377</v>
      </c>
      <c r="L266" s="4">
        <v>1.682409</v>
      </c>
      <c r="M266" s="4">
        <v>2.1963309999999998</v>
      </c>
      <c r="N266" s="4">
        <v>0.71547400000000005</v>
      </c>
      <c r="O266" s="4">
        <v>1.053145</v>
      </c>
      <c r="P266" s="4">
        <v>-1.3080670000000001</v>
      </c>
      <c r="Q266" s="4">
        <v>-1.5481849999999999</v>
      </c>
      <c r="R266" s="4">
        <v>0.10978499999999999</v>
      </c>
      <c r="S266" s="4">
        <v>-0.83471499999999998</v>
      </c>
      <c r="T266" s="4">
        <v>0.37278899999999998</v>
      </c>
    </row>
    <row r="267" spans="1:20" ht="18">
      <c r="A267" s="2">
        <f t="shared" si="100"/>
        <v>266</v>
      </c>
      <c r="B267" s="7" t="s">
        <v>1135</v>
      </c>
      <c r="I267" s="15" t="s">
        <v>287</v>
      </c>
      <c r="J267" s="15">
        <v>265</v>
      </c>
      <c r="K267" s="4">
        <v>-0.40560000000000002</v>
      </c>
      <c r="L267" s="4">
        <v>1.702231</v>
      </c>
      <c r="M267" s="4">
        <v>-1.0694E-2</v>
      </c>
      <c r="N267" s="4">
        <v>-0.60059700000000005</v>
      </c>
      <c r="O267" s="4">
        <v>2.6018819999999998</v>
      </c>
      <c r="P267" s="4">
        <v>0.675929</v>
      </c>
      <c r="Q267" s="4">
        <v>-1.4222269999999999</v>
      </c>
      <c r="R267" s="4">
        <v>0.57914299999999996</v>
      </c>
      <c r="S267" s="4">
        <v>0.51308500000000001</v>
      </c>
      <c r="T267" s="4">
        <v>1.617688</v>
      </c>
    </row>
    <row r="268" spans="1:20" ht="18">
      <c r="A268" s="2">
        <f t="shared" si="100"/>
        <v>267</v>
      </c>
      <c r="B268" s="7" t="s">
        <v>1136</v>
      </c>
      <c r="I268" s="15" t="s">
        <v>288</v>
      </c>
      <c r="J268" s="15">
        <v>266</v>
      </c>
      <c r="K268" s="4">
        <v>-0.318388</v>
      </c>
      <c r="L268" s="4">
        <v>3.6967E-2</v>
      </c>
      <c r="M268" s="4">
        <v>-0.49531799999999998</v>
      </c>
      <c r="N268" s="4">
        <v>-2.284986</v>
      </c>
      <c r="O268" s="4">
        <v>0.129522</v>
      </c>
      <c r="P268" s="4">
        <v>0.91667200000000004</v>
      </c>
      <c r="Q268" s="4">
        <v>-0.76628600000000002</v>
      </c>
      <c r="R268" s="4">
        <v>-0.45983499999999999</v>
      </c>
      <c r="S268" s="4">
        <v>1.8953000000000001E-2</v>
      </c>
      <c r="T268" s="4">
        <v>-1.4664440000000001</v>
      </c>
    </row>
    <row r="269" spans="1:20" ht="18">
      <c r="A269" s="2">
        <f t="shared" si="100"/>
        <v>268</v>
      </c>
      <c r="B269" s="7" t="s">
        <v>1137</v>
      </c>
      <c r="I269" s="15" t="s">
        <v>289</v>
      </c>
      <c r="J269" s="15">
        <v>267</v>
      </c>
      <c r="K269" s="4">
        <v>1.592873</v>
      </c>
      <c r="L269" s="4">
        <v>0.47749399999999997</v>
      </c>
      <c r="M269" s="4">
        <v>0.99244200000000005</v>
      </c>
      <c r="N269" s="4">
        <v>1.117486</v>
      </c>
      <c r="O269" s="4">
        <v>-0.33668100000000001</v>
      </c>
      <c r="P269" s="4">
        <v>-0.91728500000000002</v>
      </c>
      <c r="Q269" s="4">
        <v>0.79871599999999998</v>
      </c>
      <c r="R269" s="4">
        <v>1.1715789999999999</v>
      </c>
      <c r="S269" s="4">
        <v>0.48928300000000002</v>
      </c>
      <c r="T269" s="4">
        <v>0.48547000000000001</v>
      </c>
    </row>
    <row r="270" spans="1:20" ht="18">
      <c r="A270" s="2">
        <f t="shared" si="100"/>
        <v>269</v>
      </c>
      <c r="B270" s="7" t="s">
        <v>1138</v>
      </c>
      <c r="I270" s="15" t="s">
        <v>290</v>
      </c>
      <c r="J270" s="15">
        <v>268</v>
      </c>
      <c r="K270" s="4">
        <v>0.11912</v>
      </c>
      <c r="L270" s="4">
        <v>1.1665270000000001</v>
      </c>
      <c r="M270" s="4">
        <v>2.0368379999999999</v>
      </c>
      <c r="N270" s="4">
        <v>0.67417099999999996</v>
      </c>
      <c r="O270" s="4">
        <v>2.378943</v>
      </c>
      <c r="P270" s="4">
        <v>1.523658</v>
      </c>
      <c r="Q270" s="4">
        <v>-0.54941099999999998</v>
      </c>
      <c r="R270" s="4">
        <v>1.3635790000000001</v>
      </c>
      <c r="S270" s="4">
        <v>-0.36652800000000002</v>
      </c>
      <c r="T270" s="4">
        <v>0.91516799999999998</v>
      </c>
    </row>
    <row r="271" spans="1:20" ht="18">
      <c r="A271" s="2">
        <f t="shared" si="100"/>
        <v>270</v>
      </c>
      <c r="B271" s="7" t="s">
        <v>1139</v>
      </c>
      <c r="I271" s="15" t="s">
        <v>291</v>
      </c>
      <c r="J271" s="15">
        <v>269</v>
      </c>
      <c r="K271" s="4">
        <v>-0.33676299999999998</v>
      </c>
      <c r="L271" s="4">
        <v>0.82673700000000006</v>
      </c>
      <c r="M271" s="4">
        <v>0.87371200000000004</v>
      </c>
      <c r="N271" s="4">
        <v>-0.54006100000000001</v>
      </c>
      <c r="O271" s="4">
        <v>-1.3984920000000001</v>
      </c>
      <c r="P271" s="4">
        <v>-1.785094</v>
      </c>
      <c r="Q271" s="4">
        <v>-0.484431</v>
      </c>
      <c r="R271" s="4">
        <v>-1.438517</v>
      </c>
      <c r="S271" s="4">
        <v>-1.4419820000000001</v>
      </c>
      <c r="T271" s="4">
        <v>-1.050851</v>
      </c>
    </row>
    <row r="272" spans="1:20" ht="18">
      <c r="A272" s="2">
        <f t="shared" si="100"/>
        <v>271</v>
      </c>
      <c r="B272" s="7" t="s">
        <v>1140</v>
      </c>
      <c r="I272" s="15" t="s">
        <v>292</v>
      </c>
      <c r="J272" s="15">
        <v>270</v>
      </c>
      <c r="K272" s="4">
        <v>0.71029399999999998</v>
      </c>
      <c r="L272" s="4">
        <v>-1.35412</v>
      </c>
      <c r="M272" s="4">
        <v>-0.34886600000000001</v>
      </c>
      <c r="N272" s="4">
        <v>1.3584050000000001</v>
      </c>
      <c r="O272" s="4">
        <v>-0.34423100000000001</v>
      </c>
      <c r="P272" s="4">
        <v>2.2963580000000001</v>
      </c>
      <c r="Q272" s="4">
        <v>-1.425597</v>
      </c>
      <c r="R272" s="4">
        <v>0.34526400000000002</v>
      </c>
      <c r="S272" s="4">
        <v>0.16469300000000001</v>
      </c>
      <c r="T272" s="4">
        <v>1.272732</v>
      </c>
    </row>
    <row r="273" spans="1:20" ht="18">
      <c r="A273" s="2">
        <f t="shared" si="100"/>
        <v>272</v>
      </c>
      <c r="B273" s="7" t="s">
        <v>1141</v>
      </c>
      <c r="I273" s="15" t="s">
        <v>293</v>
      </c>
      <c r="J273" s="15">
        <v>271</v>
      </c>
      <c r="K273" s="4">
        <v>-0.74890800000000002</v>
      </c>
      <c r="L273" s="4">
        <v>1.115022</v>
      </c>
      <c r="M273" s="4">
        <v>-0.33377600000000002</v>
      </c>
      <c r="N273" s="4">
        <v>0.1246</v>
      </c>
      <c r="O273" s="4">
        <v>0.62029900000000004</v>
      </c>
      <c r="P273" s="4">
        <v>-0.41225200000000001</v>
      </c>
      <c r="Q273" s="4">
        <v>-0.60933599999999999</v>
      </c>
      <c r="R273" s="4">
        <v>-0.70799699999999999</v>
      </c>
      <c r="S273" s="4">
        <v>0.36065399999999997</v>
      </c>
      <c r="T273" s="4">
        <v>-0.87607500000000005</v>
      </c>
    </row>
    <row r="274" spans="1:20" ht="18">
      <c r="A274" s="2">
        <f t="shared" si="100"/>
        <v>273</v>
      </c>
      <c r="B274" s="7" t="s">
        <v>1142</v>
      </c>
      <c r="I274" s="15" t="s">
        <v>294</v>
      </c>
      <c r="J274" s="15">
        <v>272</v>
      </c>
      <c r="K274" s="4">
        <v>-0.65559100000000003</v>
      </c>
      <c r="L274" s="4">
        <v>-2.5739999999999999E-3</v>
      </c>
      <c r="M274" s="4">
        <v>1.11849</v>
      </c>
      <c r="N274" s="4">
        <v>-0.33672200000000002</v>
      </c>
      <c r="O274" s="4">
        <v>0.395455</v>
      </c>
      <c r="P274" s="4">
        <v>-0.183947</v>
      </c>
      <c r="Q274" s="4">
        <v>0.29235499999999998</v>
      </c>
      <c r="R274" s="4">
        <v>1.201193</v>
      </c>
      <c r="S274" s="4">
        <v>-3.7220000000000003E-2</v>
      </c>
      <c r="T274" s="4">
        <v>-1.5308889999999999</v>
      </c>
    </row>
    <row r="275" spans="1:20" ht="18">
      <c r="A275" s="2">
        <f t="shared" si="100"/>
        <v>274</v>
      </c>
      <c r="B275" s="7" t="s">
        <v>1143</v>
      </c>
      <c r="I275" s="15" t="s">
        <v>295</v>
      </c>
      <c r="J275" s="15">
        <v>273</v>
      </c>
      <c r="K275" s="4">
        <v>-2.4340000000000001E-2</v>
      </c>
      <c r="L275" s="4">
        <v>0.40582800000000002</v>
      </c>
      <c r="M275" s="4">
        <v>-0.98306099999999996</v>
      </c>
      <c r="N275" s="4">
        <v>6.5110000000000003E-3</v>
      </c>
      <c r="O275" s="4">
        <v>-0.210232</v>
      </c>
      <c r="P275" s="4">
        <v>-1.047401</v>
      </c>
      <c r="Q275" s="4">
        <v>-1.633848</v>
      </c>
      <c r="R275" s="4">
        <v>0.43778299999999998</v>
      </c>
      <c r="S275" s="4">
        <v>-1.0349280000000001</v>
      </c>
      <c r="T275" s="4">
        <v>0.24885199999999999</v>
      </c>
    </row>
    <row r="276" spans="1:20" ht="18">
      <c r="A276" s="2">
        <f t="shared" si="100"/>
        <v>275</v>
      </c>
      <c r="B276" s="7" t="s">
        <v>1144</v>
      </c>
      <c r="I276" s="15" t="s">
        <v>296</v>
      </c>
      <c r="J276" s="15">
        <v>274</v>
      </c>
      <c r="K276" s="4">
        <v>0.68120899999999995</v>
      </c>
      <c r="L276" s="4">
        <v>-0.97991300000000003</v>
      </c>
      <c r="M276" s="4">
        <v>-1.070638</v>
      </c>
      <c r="N276" s="4">
        <v>1.0891459999999999</v>
      </c>
      <c r="O276" s="4">
        <v>1.439999</v>
      </c>
      <c r="P276" s="4">
        <v>-0.78897399999999995</v>
      </c>
      <c r="Q276" s="4">
        <v>-0.74790299999999998</v>
      </c>
      <c r="R276" s="4">
        <v>1.263819</v>
      </c>
      <c r="S276" s="4">
        <v>1.2911239999999999</v>
      </c>
      <c r="T276" s="4">
        <v>-0.70225000000000004</v>
      </c>
    </row>
    <row r="277" spans="1:20" ht="18">
      <c r="A277" s="2">
        <f t="shared" si="100"/>
        <v>276</v>
      </c>
      <c r="B277" s="7" t="s">
        <v>1145</v>
      </c>
      <c r="I277" s="15" t="s">
        <v>297</v>
      </c>
      <c r="J277" s="15">
        <v>275</v>
      </c>
      <c r="K277" s="4">
        <v>-0.50419700000000001</v>
      </c>
      <c r="L277" s="4">
        <v>-0.31698300000000001</v>
      </c>
      <c r="M277" s="4">
        <v>1.22662</v>
      </c>
      <c r="N277" s="4">
        <v>-0.85199400000000003</v>
      </c>
      <c r="O277" s="4">
        <v>-0.60632799999999998</v>
      </c>
      <c r="P277" s="4">
        <v>-0.44878499999999999</v>
      </c>
      <c r="Q277" s="4">
        <v>0.97069799999999995</v>
      </c>
      <c r="R277" s="4">
        <v>-2.4344000000000001E-2</v>
      </c>
      <c r="S277" s="4">
        <v>-0.545767</v>
      </c>
      <c r="T277" s="4">
        <v>0.72231699999999999</v>
      </c>
    </row>
    <row r="278" spans="1:20" ht="18">
      <c r="A278" s="2">
        <f t="shared" si="100"/>
        <v>277</v>
      </c>
      <c r="B278" s="7" t="s">
        <v>1146</v>
      </c>
      <c r="I278" s="15" t="s">
        <v>298</v>
      </c>
      <c r="J278" s="15">
        <v>276</v>
      </c>
      <c r="K278" s="4">
        <v>-0.22666500000000001</v>
      </c>
      <c r="L278" s="4">
        <v>-3.4001030000000001</v>
      </c>
      <c r="M278" s="4">
        <v>-9.7459999999999995E-3</v>
      </c>
      <c r="N278" s="4">
        <v>-0.47903600000000002</v>
      </c>
      <c r="O278" s="4">
        <v>5.1145000000000003E-2</v>
      </c>
      <c r="P278" s="4">
        <v>-1.2268429999999999</v>
      </c>
      <c r="Q278" s="4">
        <v>0.66839199999999999</v>
      </c>
      <c r="R278" s="4">
        <v>0.30923800000000001</v>
      </c>
      <c r="S278" s="4">
        <v>7.5229000000000004E-2</v>
      </c>
      <c r="T278" s="4">
        <v>-0.94461499999999998</v>
      </c>
    </row>
    <row r="279" spans="1:20" ht="18">
      <c r="A279" s="2">
        <f t="shared" si="100"/>
        <v>278</v>
      </c>
      <c r="B279" s="7" t="s">
        <v>1147</v>
      </c>
      <c r="I279" s="15" t="s">
        <v>299</v>
      </c>
      <c r="J279" s="15">
        <v>277</v>
      </c>
      <c r="K279" s="4">
        <v>1.468243</v>
      </c>
      <c r="L279" s="4">
        <v>1.173057</v>
      </c>
      <c r="M279" s="4">
        <v>-0.98670999999999998</v>
      </c>
      <c r="N279" s="4">
        <v>-1.622293</v>
      </c>
      <c r="O279" s="4">
        <v>0.427089</v>
      </c>
      <c r="P279" s="4">
        <v>0.84940700000000002</v>
      </c>
      <c r="Q279" s="4">
        <v>0.220137</v>
      </c>
      <c r="R279" s="4">
        <v>-0.18241599999999999</v>
      </c>
      <c r="S279" s="4">
        <v>-1.0944370000000001</v>
      </c>
      <c r="T279" s="4">
        <v>0.99534599999999995</v>
      </c>
    </row>
    <row r="280" spans="1:20" ht="18">
      <c r="A280" s="2">
        <f t="shared" si="100"/>
        <v>279</v>
      </c>
      <c r="B280" s="7" t="s">
        <v>1148</v>
      </c>
      <c r="I280" s="15" t="s">
        <v>300</v>
      </c>
      <c r="J280" s="15">
        <v>278</v>
      </c>
      <c r="K280" s="4">
        <v>-1.17693</v>
      </c>
      <c r="L280" s="4">
        <v>0.97667099999999996</v>
      </c>
      <c r="M280" s="4">
        <v>-0.75291300000000005</v>
      </c>
      <c r="N280" s="4">
        <v>1.634415</v>
      </c>
      <c r="O280" s="4">
        <v>1.6960980000000001</v>
      </c>
      <c r="P280" s="4">
        <v>0.70220099999999996</v>
      </c>
      <c r="Q280" s="4">
        <v>-0.45085199999999997</v>
      </c>
      <c r="R280" s="4">
        <v>-0.77279100000000001</v>
      </c>
      <c r="S280" s="4">
        <v>-0.85379099999999997</v>
      </c>
      <c r="T280" s="4">
        <v>1.134053</v>
      </c>
    </row>
    <row r="281" spans="1:20" ht="18">
      <c r="A281" s="2">
        <f t="shared" si="100"/>
        <v>280</v>
      </c>
      <c r="B281" s="7" t="s">
        <v>1149</v>
      </c>
      <c r="I281" s="15" t="s">
        <v>301</v>
      </c>
      <c r="J281" s="15">
        <v>279</v>
      </c>
      <c r="K281" s="4">
        <v>0.60718499999999997</v>
      </c>
      <c r="L281" s="4">
        <v>0.313108</v>
      </c>
      <c r="M281" s="4">
        <v>0.71679999999999999</v>
      </c>
      <c r="N281" s="4">
        <v>0.40447499999999997</v>
      </c>
      <c r="O281" s="4">
        <v>-0.32314999999999999</v>
      </c>
      <c r="P281" s="4">
        <v>0.249723</v>
      </c>
      <c r="Q281" s="4">
        <v>0.97317600000000004</v>
      </c>
      <c r="R281" s="4">
        <v>2.6931799999999999</v>
      </c>
      <c r="S281" s="4">
        <v>-7.2286000000000003E-2</v>
      </c>
      <c r="T281" s="4">
        <v>0.15704299999999999</v>
      </c>
    </row>
    <row r="282" spans="1:20" ht="18">
      <c r="A282" s="2">
        <f t="shared" si="100"/>
        <v>281</v>
      </c>
      <c r="B282" s="7" t="s">
        <v>1150</v>
      </c>
      <c r="I282" s="15" t="s">
        <v>302</v>
      </c>
      <c r="J282" s="15">
        <v>280</v>
      </c>
      <c r="K282" s="4">
        <v>0.24973300000000001</v>
      </c>
      <c r="L282" s="4">
        <v>-1.1090899999999999</v>
      </c>
      <c r="M282" s="4">
        <v>1.672266</v>
      </c>
      <c r="N282" s="4">
        <v>-0.26856000000000002</v>
      </c>
      <c r="O282" s="4">
        <v>0.35496100000000003</v>
      </c>
      <c r="P282" s="4">
        <v>0.49934400000000001</v>
      </c>
      <c r="Q282" s="4">
        <v>-0.323237</v>
      </c>
      <c r="R282" s="4">
        <v>-2.0558580000000002</v>
      </c>
      <c r="S282" s="4">
        <v>1.2293480000000001</v>
      </c>
      <c r="T282" s="4">
        <v>-2.1578650000000001</v>
      </c>
    </row>
    <row r="283" spans="1:20" ht="18">
      <c r="A283" s="2">
        <f t="shared" si="100"/>
        <v>282</v>
      </c>
      <c r="B283" s="7" t="s">
        <v>1151</v>
      </c>
      <c r="I283" s="15" t="s">
        <v>303</v>
      </c>
      <c r="J283" s="15">
        <v>281</v>
      </c>
      <c r="K283" s="4">
        <v>0.57552099999999995</v>
      </c>
      <c r="L283" s="4">
        <v>1.8572000000000002E-2</v>
      </c>
      <c r="M283" s="4">
        <v>1.8688E-2</v>
      </c>
      <c r="N283" s="4">
        <v>-1.1741889999999999</v>
      </c>
      <c r="O283" s="4">
        <v>-9.5031000000000004E-2</v>
      </c>
      <c r="P283" s="4">
        <v>1.565288</v>
      </c>
      <c r="Q283" s="4">
        <v>1.279795</v>
      </c>
      <c r="R283" s="4">
        <v>0.25141000000000002</v>
      </c>
      <c r="S283" s="4">
        <v>0.96668699999999996</v>
      </c>
      <c r="T283" s="4">
        <v>-0.820492</v>
      </c>
    </row>
    <row r="284" spans="1:20" ht="18">
      <c r="A284" s="2">
        <f t="shared" si="100"/>
        <v>283</v>
      </c>
      <c r="B284" s="7" t="s">
        <v>1152</v>
      </c>
      <c r="I284" s="15" t="s">
        <v>304</v>
      </c>
      <c r="J284" s="15">
        <v>282</v>
      </c>
      <c r="K284" s="4">
        <v>0.26926299999999997</v>
      </c>
      <c r="L284" s="4">
        <v>1.229444</v>
      </c>
      <c r="M284" s="4">
        <v>0.73994700000000002</v>
      </c>
      <c r="N284" s="4">
        <v>-0.61063199999999995</v>
      </c>
      <c r="O284" s="4">
        <v>-0.241231</v>
      </c>
      <c r="P284" s="4">
        <v>-0.30886999999999998</v>
      </c>
      <c r="Q284" s="4">
        <v>0.36820199999999997</v>
      </c>
      <c r="R284" s="4">
        <v>0.64137999999999995</v>
      </c>
      <c r="S284" s="4">
        <v>-1.14961</v>
      </c>
      <c r="T284" s="4">
        <v>0.26966200000000001</v>
      </c>
    </row>
    <row r="285" spans="1:20" ht="18">
      <c r="A285" s="2">
        <f t="shared" si="100"/>
        <v>284</v>
      </c>
      <c r="B285" s="7" t="s">
        <v>1153</v>
      </c>
      <c r="I285" s="15" t="s">
        <v>305</v>
      </c>
      <c r="J285" s="15">
        <v>283</v>
      </c>
      <c r="K285" s="4">
        <v>0.10201</v>
      </c>
      <c r="L285" s="4">
        <v>0.329847</v>
      </c>
      <c r="M285" s="4">
        <v>1.4906980000000001</v>
      </c>
      <c r="N285" s="4">
        <v>0.56789500000000004</v>
      </c>
      <c r="O285" s="4">
        <v>-3.8823000000000003E-2</v>
      </c>
      <c r="P285" s="4">
        <v>1.000856</v>
      </c>
      <c r="Q285" s="4">
        <v>1.0579769999999999</v>
      </c>
      <c r="R285" s="4">
        <v>0.79132499999999995</v>
      </c>
      <c r="S285" s="4">
        <v>1.170809</v>
      </c>
      <c r="T285" s="4">
        <v>-1.1336820000000001</v>
      </c>
    </row>
    <row r="286" spans="1:20" ht="18">
      <c r="A286" s="2">
        <f t="shared" si="100"/>
        <v>285</v>
      </c>
      <c r="B286" s="7" t="s">
        <v>1154</v>
      </c>
      <c r="I286" s="15" t="s">
        <v>306</v>
      </c>
      <c r="J286" s="15">
        <v>284</v>
      </c>
      <c r="K286" s="4">
        <v>1.163106</v>
      </c>
      <c r="L286" s="4">
        <v>8.0409999999999995E-3</v>
      </c>
      <c r="M286" s="4">
        <v>-0.412769</v>
      </c>
      <c r="N286" s="4">
        <v>-0.92599399999999998</v>
      </c>
      <c r="O286" s="4">
        <v>-1.1688400000000001</v>
      </c>
      <c r="P286" s="4">
        <v>-0.60451900000000003</v>
      </c>
      <c r="Q286" s="4">
        <v>-0.35997499999999999</v>
      </c>
      <c r="R286" s="4">
        <v>-4.8760999999999999E-2</v>
      </c>
      <c r="S286" s="4">
        <v>0.22370399999999999</v>
      </c>
      <c r="T286" s="4">
        <v>-0.49437500000000001</v>
      </c>
    </row>
    <row r="287" spans="1:20" ht="18">
      <c r="A287" s="2">
        <f t="shared" si="100"/>
        <v>286</v>
      </c>
      <c r="B287" s="7" t="s">
        <v>1155</v>
      </c>
      <c r="I287" s="15" t="s">
        <v>307</v>
      </c>
      <c r="J287" s="15">
        <v>285</v>
      </c>
      <c r="K287" s="4">
        <v>-0.85445099999999996</v>
      </c>
      <c r="L287" s="4">
        <v>-0.33859899999999998</v>
      </c>
      <c r="M287" s="4">
        <v>-1.198801</v>
      </c>
      <c r="N287" s="4">
        <v>-0.29107699999999997</v>
      </c>
      <c r="O287" s="4">
        <v>0.23293700000000001</v>
      </c>
      <c r="P287" s="4">
        <v>-0.10555200000000001</v>
      </c>
      <c r="Q287" s="4">
        <v>0.401281</v>
      </c>
      <c r="R287" s="4">
        <v>0.44652799999999998</v>
      </c>
      <c r="S287" s="4">
        <v>0.69432799999999995</v>
      </c>
      <c r="T287" s="4">
        <v>0.29433399999999998</v>
      </c>
    </row>
    <row r="288" spans="1:20" ht="18">
      <c r="A288" s="2">
        <f t="shared" si="100"/>
        <v>287</v>
      </c>
      <c r="B288" s="7" t="s">
        <v>1156</v>
      </c>
      <c r="I288" s="15" t="s">
        <v>308</v>
      </c>
      <c r="J288" s="15">
        <v>286</v>
      </c>
      <c r="K288" s="4">
        <v>0.67659599999999998</v>
      </c>
      <c r="L288" s="4">
        <v>0.594607</v>
      </c>
      <c r="M288" s="4">
        <v>1.3807320000000001</v>
      </c>
      <c r="N288" s="4">
        <v>-0.41446699999999997</v>
      </c>
      <c r="O288" s="4">
        <v>-1.2715129999999999</v>
      </c>
      <c r="P288" s="4">
        <v>-1.4163600000000001</v>
      </c>
      <c r="Q288" s="4">
        <v>-0.53345699999999996</v>
      </c>
      <c r="R288" s="4">
        <v>-2.3563420000000002</v>
      </c>
      <c r="S288" s="4">
        <v>0.139761</v>
      </c>
      <c r="T288" s="4">
        <v>-1.092406</v>
      </c>
    </row>
    <row r="289" spans="1:20" ht="18">
      <c r="A289" s="2">
        <f t="shared" si="100"/>
        <v>288</v>
      </c>
      <c r="B289" s="7" t="s">
        <v>1157</v>
      </c>
      <c r="I289" s="15" t="s">
        <v>309</v>
      </c>
      <c r="J289" s="15">
        <v>287</v>
      </c>
      <c r="K289" s="4">
        <v>0.655945</v>
      </c>
      <c r="L289" s="4">
        <v>0.61958199999999997</v>
      </c>
      <c r="M289" s="4">
        <v>-0.37343799999999999</v>
      </c>
      <c r="N289" s="4">
        <v>-4.4728999999999998E-2</v>
      </c>
      <c r="O289" s="4">
        <v>0.408555</v>
      </c>
      <c r="P289" s="4">
        <v>2.1259980000000001</v>
      </c>
      <c r="Q289" s="4">
        <v>0.99988100000000002</v>
      </c>
      <c r="R289" s="4">
        <v>1.2956510000000001</v>
      </c>
      <c r="S289" s="4">
        <v>0.44903100000000001</v>
      </c>
      <c r="T289" s="4">
        <v>-0.49614200000000003</v>
      </c>
    </row>
    <row r="290" spans="1:20" ht="18">
      <c r="A290" s="2">
        <f t="shared" si="100"/>
        <v>289</v>
      </c>
      <c r="B290" s="7" t="s">
        <v>1158</v>
      </c>
      <c r="I290" s="15" t="s">
        <v>310</v>
      </c>
      <c r="J290" s="15">
        <v>288</v>
      </c>
      <c r="K290" s="4">
        <v>0.47604999999999997</v>
      </c>
      <c r="L290" s="4">
        <v>1.1378250000000001</v>
      </c>
      <c r="M290" s="4">
        <v>0.80900300000000003</v>
      </c>
      <c r="N290" s="4">
        <v>-0.664933</v>
      </c>
      <c r="O290" s="4">
        <v>0.48958200000000002</v>
      </c>
      <c r="P290" s="4">
        <v>3.6801E-2</v>
      </c>
      <c r="Q290" s="4">
        <v>1.731995</v>
      </c>
      <c r="R290" s="4">
        <v>-1.298511</v>
      </c>
      <c r="S290" s="4">
        <v>-0.14322299999999999</v>
      </c>
      <c r="T290" s="4">
        <v>-0.17899799999999999</v>
      </c>
    </row>
    <row r="291" spans="1:20" ht="18">
      <c r="A291" s="2">
        <f t="shared" si="100"/>
        <v>290</v>
      </c>
      <c r="B291" s="7" t="s">
        <v>1159</v>
      </c>
      <c r="I291" s="15" t="s">
        <v>311</v>
      </c>
      <c r="J291" s="15">
        <v>289</v>
      </c>
      <c r="K291" s="4">
        <v>0.55905300000000002</v>
      </c>
      <c r="L291" s="4">
        <v>-1.021709</v>
      </c>
      <c r="M291" s="4">
        <v>-3.8628000000000003E-2</v>
      </c>
      <c r="N291" s="4">
        <v>2.0940690000000002</v>
      </c>
      <c r="O291" s="4">
        <v>-2.064019</v>
      </c>
      <c r="P291" s="4">
        <v>-0.364452</v>
      </c>
      <c r="Q291" s="4">
        <v>2.1871390000000002</v>
      </c>
      <c r="R291" s="4">
        <v>0.66706500000000002</v>
      </c>
      <c r="S291" s="4">
        <v>-0.229131</v>
      </c>
      <c r="T291" s="4">
        <v>-3.1365120000000002</v>
      </c>
    </row>
    <row r="292" spans="1:20" ht="18">
      <c r="A292" s="2">
        <f t="shared" si="100"/>
        <v>291</v>
      </c>
      <c r="B292" s="7" t="s">
        <v>1160</v>
      </c>
      <c r="I292" s="15" t="s">
        <v>312</v>
      </c>
      <c r="J292" s="15">
        <v>290</v>
      </c>
      <c r="K292" s="4">
        <v>-0.25392300000000001</v>
      </c>
      <c r="L292" s="4">
        <v>0.14726900000000001</v>
      </c>
      <c r="M292" s="4">
        <v>-0.56062800000000002</v>
      </c>
      <c r="N292" s="4">
        <v>-0.123539</v>
      </c>
      <c r="O292" s="4">
        <v>-0.79341099999999998</v>
      </c>
      <c r="P292" s="4">
        <v>0.94828999999999997</v>
      </c>
      <c r="Q292" s="4">
        <v>-1.2662310000000001</v>
      </c>
      <c r="R292" s="4">
        <v>0.106568</v>
      </c>
      <c r="S292" s="4">
        <v>1.3053870000000001</v>
      </c>
      <c r="T292" s="4">
        <v>1.6524369999999999</v>
      </c>
    </row>
    <row r="293" spans="1:20" ht="18">
      <c r="A293" s="2">
        <f t="shared" si="100"/>
        <v>292</v>
      </c>
      <c r="B293" s="7" t="s">
        <v>1161</v>
      </c>
      <c r="I293" s="15" t="s">
        <v>313</v>
      </c>
      <c r="J293" s="15">
        <v>291</v>
      </c>
      <c r="K293" s="4">
        <v>-2.0305970000000002</v>
      </c>
      <c r="L293" s="4">
        <v>-1.796403</v>
      </c>
      <c r="M293" s="4">
        <v>1.6139030000000001</v>
      </c>
      <c r="N293" s="4">
        <v>-1.163028</v>
      </c>
      <c r="O293" s="4">
        <v>-0.76517400000000002</v>
      </c>
      <c r="P293" s="4">
        <v>6.6694000000000003E-2</v>
      </c>
      <c r="Q293" s="4">
        <v>1.1964060000000001</v>
      </c>
      <c r="R293" s="4">
        <v>0.20230300000000001</v>
      </c>
      <c r="S293" s="4">
        <v>-4.0152E-2</v>
      </c>
      <c r="T293" s="4">
        <v>0.264241</v>
      </c>
    </row>
    <row r="294" spans="1:20" ht="18">
      <c r="A294" s="2">
        <f t="shared" si="100"/>
        <v>293</v>
      </c>
      <c r="B294" s="7" t="s">
        <v>1162</v>
      </c>
      <c r="I294" s="15" t="s">
        <v>314</v>
      </c>
      <c r="J294" s="15">
        <v>292</v>
      </c>
      <c r="K294" s="4">
        <v>-0.46198499999999998</v>
      </c>
      <c r="L294" s="4">
        <v>1.252219</v>
      </c>
      <c r="M294" s="4">
        <v>-1.809682</v>
      </c>
      <c r="N294" s="4">
        <v>-2.4462649999999999</v>
      </c>
      <c r="O294" s="4">
        <v>1.803337</v>
      </c>
      <c r="P294" s="4">
        <v>-0.55340599999999995</v>
      </c>
      <c r="Q294" s="4">
        <v>-1.257933</v>
      </c>
      <c r="R294" s="4">
        <v>3.0384000000000001E-2</v>
      </c>
      <c r="S294" s="4">
        <v>-0.28712199999999999</v>
      </c>
      <c r="T294" s="4">
        <v>0.76398600000000005</v>
      </c>
    </row>
    <row r="295" spans="1:20" ht="18">
      <c r="A295" s="2">
        <f t="shared" si="100"/>
        <v>294</v>
      </c>
      <c r="B295" s="7" t="s">
        <v>1163</v>
      </c>
      <c r="I295" s="15" t="s">
        <v>315</v>
      </c>
      <c r="J295" s="15">
        <v>293</v>
      </c>
      <c r="K295" s="4">
        <v>-2.2720030000000002</v>
      </c>
      <c r="L295" s="4">
        <v>-1.8220970000000001</v>
      </c>
      <c r="M295" s="4">
        <v>-0.49380400000000002</v>
      </c>
      <c r="N295" s="4">
        <v>-0.84896400000000005</v>
      </c>
      <c r="O295" s="4">
        <v>1.4754149999999999</v>
      </c>
      <c r="P295" s="4">
        <v>1.171915</v>
      </c>
      <c r="Q295" s="4">
        <v>-0.59468699999999997</v>
      </c>
      <c r="R295" s="4">
        <v>0.90769500000000003</v>
      </c>
      <c r="S295" s="4">
        <v>-0.60407999999999995</v>
      </c>
      <c r="T295" s="4">
        <v>-1.952456</v>
      </c>
    </row>
    <row r="296" spans="1:20" ht="18">
      <c r="A296" s="2">
        <f t="shared" si="100"/>
        <v>295</v>
      </c>
      <c r="B296" s="7" t="s">
        <v>1164</v>
      </c>
      <c r="I296" s="15" t="s">
        <v>316</v>
      </c>
      <c r="J296" s="15">
        <v>294</v>
      </c>
      <c r="K296" s="4">
        <v>0.59956500000000001</v>
      </c>
      <c r="L296" s="4">
        <v>-0.82296100000000005</v>
      </c>
      <c r="M296" s="4">
        <v>-0.97040199999999999</v>
      </c>
      <c r="N296" s="4">
        <v>-0.117644</v>
      </c>
      <c r="O296" s="4">
        <v>-0.241979</v>
      </c>
      <c r="P296" s="4">
        <v>0.88122999999999996</v>
      </c>
      <c r="Q296" s="4">
        <v>-2.9198000000000002E-2</v>
      </c>
      <c r="R296" s="4">
        <v>-0.75096099999999999</v>
      </c>
      <c r="S296" s="4">
        <v>3.0333920000000001</v>
      </c>
      <c r="T296" s="4">
        <v>0.19502700000000001</v>
      </c>
    </row>
    <row r="297" spans="1:20" ht="18">
      <c r="A297" s="2">
        <f t="shared" si="100"/>
        <v>296</v>
      </c>
      <c r="B297" s="7" t="s">
        <v>1165</v>
      </c>
      <c r="I297" s="15" t="s">
        <v>317</v>
      </c>
      <c r="J297" s="15">
        <v>295</v>
      </c>
      <c r="K297" s="4">
        <v>0.560616</v>
      </c>
      <c r="L297" s="4">
        <v>-2.4926240000000002</v>
      </c>
      <c r="M297" s="4">
        <v>1.8002469999999999</v>
      </c>
      <c r="N297" s="4">
        <v>0.77594200000000002</v>
      </c>
      <c r="O297" s="4">
        <v>-0.122711</v>
      </c>
      <c r="P297" s="4">
        <v>0.62120699999999995</v>
      </c>
      <c r="Q297" s="4">
        <v>0.87834400000000001</v>
      </c>
      <c r="R297" s="4">
        <v>0.80854700000000002</v>
      </c>
      <c r="S297" s="4">
        <v>-0.49174600000000002</v>
      </c>
      <c r="T297" s="4">
        <v>0.29951100000000003</v>
      </c>
    </row>
    <row r="298" spans="1:20" ht="18">
      <c r="A298" s="2">
        <f t="shared" si="100"/>
        <v>297</v>
      </c>
      <c r="B298" s="7" t="s">
        <v>1166</v>
      </c>
      <c r="I298" s="15" t="s">
        <v>318</v>
      </c>
      <c r="J298" s="15">
        <v>296</v>
      </c>
      <c r="K298" s="4">
        <v>0.78372699999999995</v>
      </c>
      <c r="L298" s="4">
        <v>0.78934899999999997</v>
      </c>
      <c r="M298" s="4">
        <v>0.12260799999999999</v>
      </c>
      <c r="N298" s="4">
        <v>-1.054251</v>
      </c>
      <c r="O298" s="4">
        <v>-0.33539799999999997</v>
      </c>
      <c r="P298" s="4">
        <v>0.51216799999999996</v>
      </c>
      <c r="Q298" s="4">
        <v>-9.0902999999999998E-2</v>
      </c>
      <c r="R298" s="4">
        <v>1.0170999999999999</v>
      </c>
      <c r="S298" s="4">
        <v>-1.106058</v>
      </c>
      <c r="T298" s="4">
        <v>0.85266799999999998</v>
      </c>
    </row>
    <row r="299" spans="1:20" ht="18">
      <c r="A299" s="2">
        <f t="shared" si="100"/>
        <v>298</v>
      </c>
      <c r="B299" s="7" t="s">
        <v>1167</v>
      </c>
      <c r="I299" s="15" t="s">
        <v>319</v>
      </c>
      <c r="J299" s="15">
        <v>297</v>
      </c>
      <c r="K299" s="4">
        <v>1.887723</v>
      </c>
      <c r="L299" s="4">
        <v>1.2540480000000001</v>
      </c>
      <c r="M299" s="4">
        <v>-0.64762699999999995</v>
      </c>
      <c r="N299" s="4">
        <v>-2.0695290000000002</v>
      </c>
      <c r="O299" s="4">
        <v>-0.59171899999999999</v>
      </c>
      <c r="P299" s="4">
        <v>-2.0905770000000001</v>
      </c>
      <c r="Q299" s="4">
        <v>1.5643229999999999</v>
      </c>
      <c r="R299" s="4">
        <v>0.67179199999999994</v>
      </c>
      <c r="S299" s="4">
        <v>-0.78553200000000001</v>
      </c>
      <c r="T299" s="4">
        <v>-0.103172</v>
      </c>
    </row>
    <row r="300" spans="1:20" ht="18">
      <c r="A300" s="2">
        <f t="shared" si="100"/>
        <v>299</v>
      </c>
      <c r="B300" s="7" t="s">
        <v>1168</v>
      </c>
      <c r="I300" s="15" t="s">
        <v>320</v>
      </c>
      <c r="J300" s="15">
        <v>298</v>
      </c>
      <c r="K300" s="4">
        <v>-1.8304000000000001E-2</v>
      </c>
      <c r="L300" s="4">
        <v>1.338052</v>
      </c>
      <c r="M300" s="4">
        <v>-0.100198</v>
      </c>
      <c r="N300" s="4">
        <v>0.62782000000000004</v>
      </c>
      <c r="O300" s="4">
        <v>0.52310599999999996</v>
      </c>
      <c r="P300" s="4">
        <v>-6.9281999999999996E-2</v>
      </c>
      <c r="Q300" s="4">
        <v>0.39668399999999998</v>
      </c>
      <c r="R300" s="4">
        <v>-0.74868299999999999</v>
      </c>
      <c r="S300" s="4">
        <v>-0.97309900000000005</v>
      </c>
      <c r="T300" s="4">
        <v>8.2106999999999999E-2</v>
      </c>
    </row>
    <row r="301" spans="1:20" ht="18">
      <c r="A301" s="2">
        <f t="shared" si="100"/>
        <v>300</v>
      </c>
      <c r="B301" s="7" t="s">
        <v>1169</v>
      </c>
      <c r="I301" s="15" t="s">
        <v>321</v>
      </c>
      <c r="J301" s="15">
        <v>299</v>
      </c>
      <c r="K301" s="4">
        <v>-0.69490300000000005</v>
      </c>
      <c r="L301" s="4">
        <v>0.15987999999999999</v>
      </c>
      <c r="M301" s="4">
        <v>0.32011000000000001</v>
      </c>
      <c r="N301" s="4">
        <v>-0.51140399999999997</v>
      </c>
      <c r="O301" s="4">
        <v>-1.183416</v>
      </c>
      <c r="P301" s="4">
        <v>-1.0737350000000001</v>
      </c>
      <c r="Q301" s="4">
        <v>-0.46703800000000001</v>
      </c>
      <c r="R301" s="4">
        <v>1.752316</v>
      </c>
      <c r="S301" s="4">
        <v>0.24690100000000001</v>
      </c>
      <c r="T301" s="4">
        <v>0.59524699999999997</v>
      </c>
    </row>
    <row r="302" spans="1:20" ht="18">
      <c r="A302" s="2">
        <f t="shared" si="100"/>
        <v>301</v>
      </c>
      <c r="B302" s="7" t="s">
        <v>1170</v>
      </c>
      <c r="I302" s="15" t="s">
        <v>322</v>
      </c>
      <c r="J302" s="15">
        <v>300</v>
      </c>
      <c r="K302" s="4">
        <v>1.3409599999999999</v>
      </c>
      <c r="L302" s="4">
        <v>-2.093448</v>
      </c>
      <c r="M302" s="4">
        <v>-1.096762</v>
      </c>
      <c r="N302" s="4">
        <v>0.63536099999999995</v>
      </c>
      <c r="O302" s="4">
        <v>-0.72081600000000001</v>
      </c>
      <c r="P302" s="4">
        <v>-1.003568</v>
      </c>
      <c r="Q302" s="4">
        <v>-0.33938099999999999</v>
      </c>
      <c r="R302" s="4">
        <v>-0.30478699999999997</v>
      </c>
      <c r="S302" s="4">
        <v>1.6913629999999999</v>
      </c>
      <c r="T302" s="4">
        <v>-1.113847</v>
      </c>
    </row>
    <row r="303" spans="1:20" ht="18">
      <c r="A303" s="2">
        <f t="shared" si="100"/>
        <v>302</v>
      </c>
      <c r="B303" s="7" t="s">
        <v>1171</v>
      </c>
      <c r="I303" s="15" t="s">
        <v>323</v>
      </c>
      <c r="J303" s="15">
        <v>301</v>
      </c>
      <c r="K303" s="4">
        <v>0.42716199999999999</v>
      </c>
      <c r="L303" s="4">
        <v>-2.9248E-2</v>
      </c>
      <c r="M303" s="4">
        <v>0.36907400000000001</v>
      </c>
      <c r="N303" s="4">
        <v>1.301585</v>
      </c>
      <c r="O303" s="4">
        <v>-1.671616</v>
      </c>
      <c r="P303" s="4">
        <v>-1.09012</v>
      </c>
      <c r="Q303" s="4">
        <v>1.7473069999999999</v>
      </c>
      <c r="R303" s="4">
        <v>1.5230919999999999</v>
      </c>
      <c r="S303" s="4">
        <v>-1.9436389999999999</v>
      </c>
      <c r="T303" s="4">
        <v>0.80011699999999997</v>
      </c>
    </row>
    <row r="304" spans="1:20" ht="18">
      <c r="A304" s="2">
        <f t="shared" si="100"/>
        <v>303</v>
      </c>
      <c r="B304" s="7" t="s">
        <v>1172</v>
      </c>
      <c r="I304" s="15" t="s">
        <v>324</v>
      </c>
      <c r="J304" s="15">
        <v>302</v>
      </c>
      <c r="K304" s="4">
        <v>0.37406800000000001</v>
      </c>
      <c r="L304" s="4">
        <v>2.6159999999999998E-3</v>
      </c>
      <c r="M304" s="4">
        <v>-9.5089999999999994E-2</v>
      </c>
      <c r="N304" s="4">
        <v>1.071625</v>
      </c>
      <c r="O304" s="4">
        <v>0.108984</v>
      </c>
      <c r="P304" s="4">
        <v>-1.4966930000000001</v>
      </c>
      <c r="Q304" s="4">
        <v>-0.34121699999999999</v>
      </c>
      <c r="R304" s="4">
        <v>2.1267450000000001</v>
      </c>
      <c r="S304" s="4">
        <v>1.8775120000000001</v>
      </c>
      <c r="T304" s="4">
        <v>-1.3262780000000001</v>
      </c>
    </row>
    <row r="305" spans="1:20" ht="18">
      <c r="A305" s="2">
        <f t="shared" si="100"/>
        <v>304</v>
      </c>
      <c r="B305" s="7" t="s">
        <v>1173</v>
      </c>
      <c r="I305" s="15" t="s">
        <v>325</v>
      </c>
      <c r="J305" s="15">
        <v>303</v>
      </c>
      <c r="K305" s="4">
        <v>-2.1267239999999998</v>
      </c>
      <c r="L305" s="4">
        <v>-0.79722400000000004</v>
      </c>
      <c r="M305" s="4">
        <v>-0.62141400000000002</v>
      </c>
      <c r="N305" s="4">
        <v>-1.045663</v>
      </c>
      <c r="O305" s="4">
        <v>-9.5255000000000006E-2</v>
      </c>
      <c r="P305" s="4">
        <v>0.63889399999999996</v>
      </c>
      <c r="Q305" s="4">
        <v>-1.7138960000000001</v>
      </c>
      <c r="R305" s="4">
        <v>0.71837399999999996</v>
      </c>
      <c r="S305" s="4">
        <v>1.048114</v>
      </c>
      <c r="T305" s="4">
        <v>0.27735900000000002</v>
      </c>
    </row>
    <row r="306" spans="1:20" ht="18">
      <c r="A306" s="2">
        <f t="shared" si="100"/>
        <v>305</v>
      </c>
      <c r="B306" s="7" t="s">
        <v>1174</v>
      </c>
      <c r="I306" s="15" t="s">
        <v>326</v>
      </c>
      <c r="J306" s="15">
        <v>304</v>
      </c>
      <c r="K306" s="4">
        <v>3.3700000000000001E-2</v>
      </c>
      <c r="L306" s="4">
        <v>-0.175595</v>
      </c>
      <c r="M306" s="4">
        <v>0.35407100000000002</v>
      </c>
      <c r="N306" s="4">
        <v>0.63693100000000002</v>
      </c>
      <c r="O306" s="4">
        <v>0.44339800000000001</v>
      </c>
      <c r="P306" s="4">
        <v>1.710469</v>
      </c>
      <c r="Q306" s="4">
        <v>0.43155500000000002</v>
      </c>
      <c r="R306" s="4">
        <v>0.12804199999999999</v>
      </c>
      <c r="S306" s="4">
        <v>0.94477800000000001</v>
      </c>
      <c r="T306" s="4">
        <v>1.387742</v>
      </c>
    </row>
    <row r="307" spans="1:20" ht="18">
      <c r="A307" s="2">
        <f t="shared" si="100"/>
        <v>306</v>
      </c>
      <c r="B307" s="7" t="s">
        <v>1175</v>
      </c>
      <c r="I307" s="15" t="s">
        <v>327</v>
      </c>
      <c r="J307" s="15">
        <v>305</v>
      </c>
      <c r="K307" s="4">
        <v>1.8033459999999999</v>
      </c>
      <c r="L307" s="4">
        <v>-0.19176799999999999</v>
      </c>
      <c r="M307" s="4">
        <v>0.29847400000000002</v>
      </c>
      <c r="N307" s="4">
        <v>0.40795999999999999</v>
      </c>
      <c r="O307" s="4">
        <v>2.1687120000000002</v>
      </c>
      <c r="P307" s="4">
        <v>0.82018599999999997</v>
      </c>
      <c r="Q307" s="4">
        <v>-2.1953E-2</v>
      </c>
      <c r="R307" s="4">
        <v>2.4444110000000001</v>
      </c>
      <c r="S307" s="4">
        <v>-0.59780699999999998</v>
      </c>
      <c r="T307" s="4">
        <v>-1.690129</v>
      </c>
    </row>
    <row r="308" spans="1:20" ht="18">
      <c r="A308" s="2">
        <f t="shared" si="100"/>
        <v>307</v>
      </c>
      <c r="B308" s="7" t="s">
        <v>1176</v>
      </c>
      <c r="I308" s="15" t="s">
        <v>328</v>
      </c>
      <c r="J308" s="15">
        <v>306</v>
      </c>
      <c r="K308" s="4">
        <v>0.64936799999999995</v>
      </c>
      <c r="L308" s="4">
        <v>-0.44136399999999998</v>
      </c>
      <c r="M308" s="4">
        <v>-0.35390199999999999</v>
      </c>
      <c r="N308" s="4">
        <v>-1.6276390000000001</v>
      </c>
      <c r="O308" s="4">
        <v>-2.3855999999999999E-2</v>
      </c>
      <c r="P308" s="4">
        <v>1.2297309999999999</v>
      </c>
      <c r="Q308" s="4">
        <v>-1.8178E-2</v>
      </c>
      <c r="R308" s="4">
        <v>1.6962950000000001</v>
      </c>
      <c r="S308" s="4">
        <v>0.96944300000000005</v>
      </c>
      <c r="T308" s="4">
        <v>1.0231319999999999</v>
      </c>
    </row>
    <row r="309" spans="1:20" ht="18">
      <c r="A309" s="2">
        <f t="shared" si="100"/>
        <v>308</v>
      </c>
      <c r="B309" s="7" t="s">
        <v>1177</v>
      </c>
      <c r="I309" s="15" t="s">
        <v>329</v>
      </c>
      <c r="J309" s="15">
        <v>307</v>
      </c>
      <c r="K309" s="4">
        <v>-2.6884440000000001</v>
      </c>
      <c r="L309" s="4">
        <v>-2.5249299999999999</v>
      </c>
      <c r="M309" s="4">
        <v>1.340481</v>
      </c>
      <c r="N309" s="4">
        <v>-1.010958</v>
      </c>
      <c r="O309" s="4">
        <v>1.129602</v>
      </c>
      <c r="P309" s="4">
        <v>0.757938</v>
      </c>
      <c r="Q309" s="4">
        <v>-1.4977370000000001</v>
      </c>
      <c r="R309" s="4">
        <v>1.1252450000000001</v>
      </c>
      <c r="S309" s="4">
        <v>1.064694</v>
      </c>
      <c r="T309" s="4">
        <v>-1.2951809999999999</v>
      </c>
    </row>
    <row r="310" spans="1:20" ht="18">
      <c r="A310" s="2">
        <f t="shared" si="100"/>
        <v>309</v>
      </c>
      <c r="B310" s="7" t="s">
        <v>1178</v>
      </c>
      <c r="I310" s="15" t="s">
        <v>330</v>
      </c>
      <c r="J310" s="15">
        <v>308</v>
      </c>
      <c r="K310" s="4">
        <v>0.79141600000000001</v>
      </c>
      <c r="L310" s="4">
        <v>-0.43077100000000002</v>
      </c>
      <c r="M310" s="4">
        <v>0.73036699999999999</v>
      </c>
      <c r="N310" s="4">
        <v>-3.8870000000000002E-2</v>
      </c>
      <c r="O310" s="4">
        <v>0.86538199999999998</v>
      </c>
      <c r="P310" s="4">
        <v>1.3944259999999999</v>
      </c>
      <c r="Q310" s="4">
        <v>1.6175850000000001</v>
      </c>
      <c r="R310" s="4">
        <v>1.528797</v>
      </c>
      <c r="S310" s="4">
        <v>-0.69337899999999997</v>
      </c>
      <c r="T310" s="4">
        <v>-0.49512600000000001</v>
      </c>
    </row>
    <row r="311" spans="1:20" ht="18">
      <c r="A311" s="2">
        <f t="shared" si="100"/>
        <v>310</v>
      </c>
      <c r="B311" s="7" t="s">
        <v>1179</v>
      </c>
      <c r="I311" s="15" t="s">
        <v>331</v>
      </c>
      <c r="J311" s="15">
        <v>309</v>
      </c>
      <c r="K311" s="4">
        <v>0.23951600000000001</v>
      </c>
      <c r="L311" s="4">
        <v>0.60633300000000001</v>
      </c>
      <c r="M311" s="4">
        <v>1.74837</v>
      </c>
      <c r="N311" s="4">
        <v>-0.44440800000000003</v>
      </c>
      <c r="O311" s="4">
        <v>-0.99466900000000003</v>
      </c>
      <c r="P311" s="4">
        <v>-0.45518399999999998</v>
      </c>
      <c r="Q311" s="4">
        <v>0.15779399999999999</v>
      </c>
      <c r="R311" s="4">
        <v>-0.60659399999999997</v>
      </c>
      <c r="S311" s="4">
        <v>0.70653999999999995</v>
      </c>
      <c r="T311" s="4">
        <v>7.1543999999999996E-2</v>
      </c>
    </row>
    <row r="312" spans="1:20" ht="18">
      <c r="A312" s="2">
        <f t="shared" si="100"/>
        <v>311</v>
      </c>
      <c r="B312" s="7" t="s">
        <v>1180</v>
      </c>
      <c r="I312" s="15" t="s">
        <v>332</v>
      </c>
      <c r="J312" s="15">
        <v>310</v>
      </c>
      <c r="K312" s="4">
        <v>0.83294299999999999</v>
      </c>
      <c r="L312" s="4">
        <v>-0.53203500000000004</v>
      </c>
      <c r="M312" s="4">
        <v>-1.9047959999999999</v>
      </c>
      <c r="N312" s="4">
        <v>-1.811822</v>
      </c>
      <c r="O312" s="4">
        <v>1.5721480000000001</v>
      </c>
      <c r="P312" s="4">
        <v>0.28227999999999998</v>
      </c>
      <c r="Q312" s="4">
        <v>0.197578</v>
      </c>
      <c r="R312" s="4">
        <v>1.8351219999999999</v>
      </c>
      <c r="S312" s="4">
        <v>-1.2131099999999999</v>
      </c>
      <c r="T312" s="4">
        <v>-0.86214500000000005</v>
      </c>
    </row>
    <row r="313" spans="1:20" ht="18">
      <c r="A313" s="2">
        <f t="shared" si="100"/>
        <v>312</v>
      </c>
      <c r="B313" s="7" t="s">
        <v>1181</v>
      </c>
      <c r="I313" s="15" t="s">
        <v>333</v>
      </c>
      <c r="J313" s="15">
        <v>311</v>
      </c>
      <c r="K313" s="4">
        <v>0.16336899999999999</v>
      </c>
      <c r="L313" s="4">
        <v>-1.0284549999999999</v>
      </c>
      <c r="M313" s="4">
        <v>-0.53200700000000001</v>
      </c>
      <c r="N313" s="4">
        <v>1.5500999999999999E-2</v>
      </c>
      <c r="O313" s="4">
        <v>2.7643740000000001</v>
      </c>
      <c r="P313" s="4">
        <v>0.382824</v>
      </c>
      <c r="Q313" s="4">
        <v>0.36974299999999999</v>
      </c>
      <c r="R313" s="4">
        <v>0.67637499999999995</v>
      </c>
      <c r="S313" s="4">
        <v>0.49522300000000002</v>
      </c>
      <c r="T313" s="4">
        <v>-0.55789299999999997</v>
      </c>
    </row>
    <row r="314" spans="1:20" ht="18">
      <c r="A314" s="2">
        <f t="shared" si="100"/>
        <v>313</v>
      </c>
      <c r="B314" s="7" t="s">
        <v>1182</v>
      </c>
      <c r="I314" s="15" t="s">
        <v>334</v>
      </c>
      <c r="J314" s="15">
        <v>312</v>
      </c>
      <c r="K314" s="4">
        <v>1.669926</v>
      </c>
      <c r="L314" s="4">
        <v>-2.0053000000000001E-2</v>
      </c>
      <c r="M314" s="4">
        <v>2.5238580000000002</v>
      </c>
      <c r="N314" s="4">
        <v>-1.6297809999999999</v>
      </c>
      <c r="O314" s="4">
        <v>-0.50083599999999995</v>
      </c>
      <c r="P314" s="4">
        <v>0.52346199999999998</v>
      </c>
      <c r="Q314" s="4">
        <v>-0.959507</v>
      </c>
      <c r="R314" s="4">
        <v>-0.79166800000000004</v>
      </c>
      <c r="S314" s="4">
        <v>-1.004799</v>
      </c>
      <c r="T314" s="4">
        <v>-0.54860799999999998</v>
      </c>
    </row>
    <row r="315" spans="1:20" ht="18">
      <c r="A315" s="2">
        <f t="shared" si="100"/>
        <v>314</v>
      </c>
      <c r="B315" s="7" t="s">
        <v>1183</v>
      </c>
      <c r="I315" s="15" t="s">
        <v>335</v>
      </c>
      <c r="J315" s="15">
        <v>313</v>
      </c>
      <c r="K315" s="4">
        <v>0.82045800000000002</v>
      </c>
      <c r="L315" s="4">
        <v>0.74130399999999996</v>
      </c>
      <c r="M315" s="4">
        <v>2.7945999999999999E-2</v>
      </c>
      <c r="N315" s="4">
        <v>0.99094499999999996</v>
      </c>
      <c r="O315" s="4">
        <v>-0.64220100000000002</v>
      </c>
      <c r="P315" s="4">
        <v>-0.111361</v>
      </c>
      <c r="Q315" s="4">
        <v>0.732124</v>
      </c>
      <c r="R315" s="4">
        <v>-0.78197300000000003</v>
      </c>
      <c r="S315" s="4">
        <v>0.13156499999999999</v>
      </c>
      <c r="T315" s="4">
        <v>-0.677288</v>
      </c>
    </row>
    <row r="316" spans="1:20" ht="18">
      <c r="A316" s="2">
        <f t="shared" si="100"/>
        <v>315</v>
      </c>
      <c r="B316" s="7" t="s">
        <v>1184</v>
      </c>
      <c r="I316" s="15" t="s">
        <v>336</v>
      </c>
      <c r="J316" s="15">
        <v>314</v>
      </c>
      <c r="K316" s="4">
        <v>-0.94025300000000001</v>
      </c>
      <c r="L316" s="4">
        <v>0.70888200000000001</v>
      </c>
      <c r="M316" s="4">
        <v>1.196461</v>
      </c>
      <c r="N316" s="4">
        <v>-1.5243640000000001</v>
      </c>
      <c r="O316" s="4">
        <v>2.0566710000000001</v>
      </c>
      <c r="P316" s="4">
        <v>0.230048</v>
      </c>
      <c r="Q316" s="4">
        <v>0.30123299999999997</v>
      </c>
      <c r="R316" s="4">
        <v>0.86530899999999999</v>
      </c>
      <c r="S316" s="4">
        <v>-0.27079900000000001</v>
      </c>
      <c r="T316" s="4">
        <v>1.4691369999999999</v>
      </c>
    </row>
    <row r="317" spans="1:20" ht="18">
      <c r="A317" s="2">
        <f t="shared" si="100"/>
        <v>316</v>
      </c>
      <c r="B317" s="7" t="s">
        <v>1185</v>
      </c>
      <c r="I317" s="15" t="s">
        <v>337</v>
      </c>
      <c r="J317" s="15">
        <v>315</v>
      </c>
      <c r="K317" s="4">
        <v>-0.14124800000000001</v>
      </c>
      <c r="L317" s="4">
        <v>-8.1999999999999998E-4</v>
      </c>
      <c r="M317" s="4">
        <v>-0.149033</v>
      </c>
      <c r="N317" s="4">
        <v>-1.0547899999999999</v>
      </c>
      <c r="O317" s="4">
        <v>-1.906755</v>
      </c>
      <c r="P317" s="4">
        <v>-2.6737E-2</v>
      </c>
      <c r="Q317" s="4">
        <v>0.23830299999999999</v>
      </c>
      <c r="R317" s="4">
        <v>1.6128929999999999</v>
      </c>
      <c r="S317" s="4">
        <v>0.323438</v>
      </c>
      <c r="T317" s="4">
        <v>0.55053099999999999</v>
      </c>
    </row>
    <row r="318" spans="1:20" ht="18">
      <c r="A318" s="2">
        <f t="shared" si="100"/>
        <v>317</v>
      </c>
      <c r="B318" s="7" t="s">
        <v>1186</v>
      </c>
      <c r="I318" s="15" t="s">
        <v>338</v>
      </c>
      <c r="J318" s="15">
        <v>316</v>
      </c>
      <c r="K318" s="4">
        <v>0.49612299999999998</v>
      </c>
      <c r="L318" s="4">
        <v>-0.75509300000000001</v>
      </c>
      <c r="M318" s="4">
        <v>-1.499727</v>
      </c>
      <c r="N318" s="4">
        <v>-1.0560000000000001E-3</v>
      </c>
      <c r="O318" s="4">
        <v>-0.47437400000000002</v>
      </c>
      <c r="P318" s="4">
        <v>-0.57195099999999999</v>
      </c>
      <c r="Q318" s="4">
        <v>-0.167408</v>
      </c>
      <c r="R318" s="4">
        <v>1.0131969999999999</v>
      </c>
      <c r="S318" s="4">
        <v>-1.7419249999999999</v>
      </c>
      <c r="T318" s="4">
        <v>1.1216790000000001</v>
      </c>
    </row>
    <row r="319" spans="1:20" ht="18">
      <c r="A319" s="2">
        <f t="shared" si="100"/>
        <v>318</v>
      </c>
      <c r="B319" s="7" t="s">
        <v>1187</v>
      </c>
      <c r="I319" s="15" t="s">
        <v>339</v>
      </c>
      <c r="J319" s="15">
        <v>317</v>
      </c>
      <c r="K319" s="4">
        <v>-1.3428640000000001</v>
      </c>
      <c r="L319" s="4">
        <v>-1.853599</v>
      </c>
      <c r="M319" s="4">
        <v>9.0982999999999994E-2</v>
      </c>
      <c r="N319" s="4">
        <v>-2.1361469999999998</v>
      </c>
      <c r="O319" s="4">
        <v>0.565025</v>
      </c>
      <c r="P319" s="4">
        <v>0.169983</v>
      </c>
      <c r="Q319" s="4">
        <v>-1.343369</v>
      </c>
      <c r="R319" s="4">
        <v>0.27455800000000002</v>
      </c>
      <c r="S319" s="4">
        <v>0.33793899999999999</v>
      </c>
      <c r="T319" s="4">
        <v>-0.93035999999999996</v>
      </c>
    </row>
    <row r="320" spans="1:20" ht="18">
      <c r="A320" s="2">
        <f t="shared" si="100"/>
        <v>319</v>
      </c>
      <c r="B320" s="7" t="s">
        <v>1188</v>
      </c>
      <c r="I320" s="15" t="s">
        <v>340</v>
      </c>
      <c r="J320" s="15">
        <v>318</v>
      </c>
      <c r="K320" s="4">
        <v>0.89038700000000004</v>
      </c>
      <c r="L320" s="4">
        <v>0.20480699999999999</v>
      </c>
      <c r="M320" s="4">
        <v>0.54793099999999995</v>
      </c>
      <c r="N320" s="4">
        <v>-0.41379199999999999</v>
      </c>
      <c r="O320" s="4">
        <v>2.044073</v>
      </c>
      <c r="P320" s="4">
        <v>-1.3244</v>
      </c>
      <c r="Q320" s="4">
        <v>2.270661</v>
      </c>
      <c r="R320" s="4">
        <v>0.30894300000000002</v>
      </c>
      <c r="S320" s="4">
        <v>-0.98621400000000004</v>
      </c>
      <c r="T320" s="4">
        <v>-1.4044000000000001</v>
      </c>
    </row>
    <row r="321" spans="1:20" ht="18">
      <c r="A321" s="2">
        <f t="shared" si="100"/>
        <v>320</v>
      </c>
      <c r="B321" s="7" t="s">
        <v>1189</v>
      </c>
      <c r="I321" s="15" t="s">
        <v>341</v>
      </c>
      <c r="J321" s="15">
        <v>319</v>
      </c>
      <c r="K321" s="4">
        <v>-1.5473699999999999</v>
      </c>
      <c r="L321" s="4">
        <v>1.911503</v>
      </c>
      <c r="M321" s="4">
        <v>-0.111556</v>
      </c>
      <c r="N321" s="4">
        <v>0.40389799999999998</v>
      </c>
      <c r="O321" s="4">
        <v>-0.49812699999999999</v>
      </c>
      <c r="P321" s="4">
        <v>0.56420300000000001</v>
      </c>
      <c r="Q321" s="4">
        <v>-1.149154</v>
      </c>
      <c r="R321" s="4">
        <v>-1.9634819999999999</v>
      </c>
      <c r="S321" s="4">
        <v>0.430261</v>
      </c>
      <c r="T321" s="4">
        <v>-0.52798699999999998</v>
      </c>
    </row>
    <row r="322" spans="1:20" ht="18">
      <c r="A322" s="2">
        <f t="shared" si="100"/>
        <v>321</v>
      </c>
      <c r="B322" s="7" t="s">
        <v>1190</v>
      </c>
      <c r="I322" s="15" t="s">
        <v>342</v>
      </c>
      <c r="J322" s="15">
        <v>320</v>
      </c>
      <c r="K322" s="4">
        <v>-0.90626099999999998</v>
      </c>
      <c r="L322" s="4">
        <v>-0.133019</v>
      </c>
      <c r="M322" s="4">
        <v>1.2957069999999999</v>
      </c>
      <c r="N322" s="4">
        <v>-0.82527200000000001</v>
      </c>
      <c r="O322" s="4">
        <v>-0.16223599999999999</v>
      </c>
      <c r="P322" s="4">
        <v>1.6046590000000001</v>
      </c>
      <c r="Q322" s="4">
        <v>-1.5532680000000001</v>
      </c>
      <c r="R322" s="4">
        <v>1.1988129999999999</v>
      </c>
      <c r="S322" s="4">
        <v>0.64156599999999997</v>
      </c>
      <c r="T322" s="4">
        <v>0.81706999999999996</v>
      </c>
    </row>
    <row r="323" spans="1:20" ht="18">
      <c r="A323" s="2">
        <f t="shared" ref="A323:A386" si="101">ROW()-1</f>
        <v>322</v>
      </c>
      <c r="B323" s="7" t="s">
        <v>1191</v>
      </c>
      <c r="I323" s="15" t="s">
        <v>343</v>
      </c>
      <c r="J323" s="15">
        <v>321</v>
      </c>
      <c r="K323" s="4">
        <v>-1.37076</v>
      </c>
      <c r="L323" s="4">
        <v>-0.50955499999999998</v>
      </c>
      <c r="M323" s="4">
        <v>-0.18567800000000001</v>
      </c>
      <c r="N323" s="4">
        <v>-0.31471199999999999</v>
      </c>
      <c r="O323" s="4">
        <v>-1.419497</v>
      </c>
      <c r="P323" s="4">
        <v>0.361265</v>
      </c>
      <c r="Q323" s="4">
        <v>-1.2730680000000001</v>
      </c>
      <c r="R323" s="4">
        <v>3.8163000000000002E-2</v>
      </c>
      <c r="S323" s="4">
        <v>0.41325000000000001</v>
      </c>
      <c r="T323" s="4">
        <v>-0.31021399999999999</v>
      </c>
    </row>
    <row r="324" spans="1:20" ht="18">
      <c r="A324" s="2">
        <f t="shared" si="101"/>
        <v>323</v>
      </c>
      <c r="B324" s="7" t="s">
        <v>1192</v>
      </c>
      <c r="I324" s="15" t="s">
        <v>344</v>
      </c>
      <c r="J324" s="15">
        <v>322</v>
      </c>
      <c r="K324" s="4">
        <v>-0.79376199999999997</v>
      </c>
      <c r="L324" s="4">
        <v>0.82865599999999995</v>
      </c>
      <c r="M324" s="4">
        <v>0.198573</v>
      </c>
      <c r="N324" s="4">
        <v>-1.9487730000000001</v>
      </c>
      <c r="O324" s="4">
        <v>0.56582299999999996</v>
      </c>
      <c r="P324" s="4">
        <v>1.0676349999999999</v>
      </c>
      <c r="Q324" s="4">
        <v>8.7068000000000006E-2</v>
      </c>
      <c r="R324" s="4">
        <v>-4.8891999999999998E-2</v>
      </c>
      <c r="S324" s="4">
        <v>0.31265500000000002</v>
      </c>
      <c r="T324" s="4">
        <v>1.0213410000000001</v>
      </c>
    </row>
    <row r="325" spans="1:20" ht="18">
      <c r="A325" s="2">
        <f t="shared" si="101"/>
        <v>324</v>
      </c>
      <c r="B325" s="7" t="s">
        <v>1193</v>
      </c>
      <c r="I325" s="15" t="s">
        <v>345</v>
      </c>
      <c r="J325" s="15">
        <v>323</v>
      </c>
      <c r="K325" s="4">
        <v>-0.96267899999999995</v>
      </c>
      <c r="L325" s="4">
        <v>-0.40202900000000003</v>
      </c>
      <c r="M325" s="4">
        <v>-1.3137719999999999</v>
      </c>
      <c r="N325" s="4">
        <v>-1.4274119999999999</v>
      </c>
      <c r="O325" s="4">
        <v>-0.30851899999999999</v>
      </c>
      <c r="P325" s="4">
        <v>-1.311078</v>
      </c>
      <c r="Q325" s="4">
        <v>0.63452900000000001</v>
      </c>
      <c r="R325" s="4">
        <v>1.0139309999999999</v>
      </c>
      <c r="S325" s="4">
        <v>-7.0601999999999998E-2</v>
      </c>
      <c r="T325" s="4">
        <v>-0.68956099999999998</v>
      </c>
    </row>
    <row r="326" spans="1:20" ht="18">
      <c r="A326" s="2">
        <f t="shared" si="101"/>
        <v>325</v>
      </c>
      <c r="B326" s="7" t="s">
        <v>870</v>
      </c>
      <c r="I326" s="15" t="s">
        <v>346</v>
      </c>
      <c r="J326" s="15">
        <v>324</v>
      </c>
      <c r="K326" s="4">
        <v>1.5949150000000001</v>
      </c>
      <c r="L326" s="4">
        <v>-0.51641999999999999</v>
      </c>
      <c r="M326" s="4">
        <v>1.3997230000000001</v>
      </c>
      <c r="N326" s="4">
        <v>1.0422340000000001</v>
      </c>
      <c r="O326" s="4">
        <v>-0.63125799999999999</v>
      </c>
      <c r="P326" s="4">
        <v>-1.2423489999999999</v>
      </c>
      <c r="Q326" s="4">
        <v>-0.52324400000000004</v>
      </c>
      <c r="R326" s="4">
        <v>0.51576900000000003</v>
      </c>
      <c r="S326" s="4">
        <v>-0.55924399999999996</v>
      </c>
      <c r="T326" s="4">
        <v>0.841109</v>
      </c>
    </row>
    <row r="327" spans="1:20" ht="18">
      <c r="A327" s="2">
        <f t="shared" si="101"/>
        <v>326</v>
      </c>
      <c r="B327" s="7" t="s">
        <v>871</v>
      </c>
      <c r="I327" s="15" t="s">
        <v>347</v>
      </c>
      <c r="J327" s="15">
        <v>325</v>
      </c>
      <c r="K327" s="4">
        <v>0.902451</v>
      </c>
      <c r="L327" s="4">
        <v>-0.278117</v>
      </c>
      <c r="M327" s="4">
        <v>-0.90181299999999998</v>
      </c>
      <c r="N327" s="4">
        <v>1.3186880000000001</v>
      </c>
      <c r="O327" s="4">
        <v>1.092211</v>
      </c>
      <c r="P327" s="4">
        <v>1.1449640000000001</v>
      </c>
      <c r="Q327" s="4">
        <v>0.35846499999999998</v>
      </c>
      <c r="R327" s="4">
        <v>-1.2974239999999999</v>
      </c>
      <c r="S327" s="4">
        <v>2.2450589999999999</v>
      </c>
      <c r="T327" s="4">
        <v>-1.201946</v>
      </c>
    </row>
    <row r="328" spans="1:20" ht="18">
      <c r="A328" s="2">
        <f t="shared" si="101"/>
        <v>327</v>
      </c>
      <c r="B328" s="7" t="s">
        <v>872</v>
      </c>
      <c r="I328" s="15" t="s">
        <v>348</v>
      </c>
      <c r="J328" s="15">
        <v>326</v>
      </c>
      <c r="K328" s="4">
        <v>-0.48622599999999999</v>
      </c>
      <c r="L328" s="4">
        <v>2.7498550000000002</v>
      </c>
      <c r="M328" s="4">
        <v>1.5291170000000001</v>
      </c>
      <c r="N328" s="4">
        <v>0.45260899999999998</v>
      </c>
      <c r="O328" s="4">
        <v>-1.2716229999999999</v>
      </c>
      <c r="P328" s="4">
        <v>-0.42033999999999999</v>
      </c>
      <c r="Q328" s="4">
        <v>-0.17194200000000001</v>
      </c>
      <c r="R328" s="4">
        <v>-0.46806500000000001</v>
      </c>
      <c r="S328" s="4">
        <v>1.109224</v>
      </c>
      <c r="T328" s="4">
        <v>0.19035299999999999</v>
      </c>
    </row>
    <row r="329" spans="1:20" ht="18">
      <c r="A329" s="2">
        <f t="shared" si="101"/>
        <v>328</v>
      </c>
      <c r="B329" s="7" t="s">
        <v>873</v>
      </c>
      <c r="I329" s="15" t="s">
        <v>349</v>
      </c>
      <c r="J329" s="15">
        <v>327</v>
      </c>
      <c r="K329" s="4">
        <v>1.0279389999999999</v>
      </c>
      <c r="L329" s="4">
        <v>-0.50783500000000004</v>
      </c>
      <c r="M329" s="4">
        <v>-0.13342000000000001</v>
      </c>
      <c r="N329" s="4">
        <v>-0.38807199999999997</v>
      </c>
      <c r="O329" s="4">
        <v>0.90435900000000002</v>
      </c>
      <c r="P329" s="4">
        <v>-9.4123999999999999E-2</v>
      </c>
      <c r="Q329" s="4">
        <v>2.6162000000000001E-2</v>
      </c>
      <c r="R329" s="4">
        <v>-0.57025599999999999</v>
      </c>
      <c r="S329" s="4">
        <v>0.78410400000000002</v>
      </c>
      <c r="T329" s="4">
        <v>-0.39956900000000001</v>
      </c>
    </row>
    <row r="330" spans="1:20" ht="18">
      <c r="A330" s="2">
        <f t="shared" si="101"/>
        <v>329</v>
      </c>
      <c r="B330" s="7" t="s">
        <v>874</v>
      </c>
      <c r="I330" s="15" t="s">
        <v>350</v>
      </c>
      <c r="J330" s="15">
        <v>328</v>
      </c>
      <c r="K330" s="4">
        <v>-0.33100600000000002</v>
      </c>
      <c r="L330" s="4">
        <v>2.4900410000000002</v>
      </c>
      <c r="M330" s="4">
        <v>-1.205838</v>
      </c>
      <c r="N330" s="4">
        <v>-0.51300299999999999</v>
      </c>
      <c r="O330" s="4">
        <v>-0.69557500000000005</v>
      </c>
      <c r="P330" s="4">
        <v>1.2920609999999999</v>
      </c>
      <c r="Q330" s="4">
        <v>-1.9588749999999999</v>
      </c>
      <c r="R330" s="4">
        <v>0.29944799999999999</v>
      </c>
      <c r="S330" s="4">
        <v>-0.48084199999999999</v>
      </c>
      <c r="T330" s="4">
        <v>4.9549000000000003E-2</v>
      </c>
    </row>
    <row r="331" spans="1:20" ht="18">
      <c r="A331" s="2">
        <f t="shared" si="101"/>
        <v>330</v>
      </c>
      <c r="B331" s="7" t="s">
        <v>875</v>
      </c>
      <c r="I331" s="15" t="s">
        <v>351</v>
      </c>
      <c r="J331" s="15">
        <v>329</v>
      </c>
      <c r="K331" s="4">
        <v>-3.627E-3</v>
      </c>
      <c r="L331" s="4">
        <v>-0.85239100000000001</v>
      </c>
      <c r="M331" s="4">
        <v>6.4243999999999996E-2</v>
      </c>
      <c r="N331" s="4">
        <v>-1.108522</v>
      </c>
      <c r="O331" s="4">
        <v>0.85367999999999999</v>
      </c>
      <c r="P331" s="4">
        <v>0.458841</v>
      </c>
      <c r="Q331" s="4">
        <v>-0.750004</v>
      </c>
      <c r="R331" s="4">
        <v>-1.582036</v>
      </c>
      <c r="S331" s="4">
        <v>-0.50218200000000002</v>
      </c>
      <c r="T331" s="4">
        <v>-4.2611999999999997E-2</v>
      </c>
    </row>
    <row r="332" spans="1:20" ht="18">
      <c r="A332" s="2">
        <f t="shared" si="101"/>
        <v>331</v>
      </c>
      <c r="B332" s="7" t="s">
        <v>876</v>
      </c>
      <c r="I332" s="15" t="s">
        <v>352</v>
      </c>
      <c r="J332" s="15">
        <v>330</v>
      </c>
      <c r="K332" s="4">
        <v>0.33268599999999998</v>
      </c>
      <c r="L332" s="4">
        <v>-0.71324500000000002</v>
      </c>
      <c r="M332" s="4">
        <v>-0.16467899999999999</v>
      </c>
      <c r="N332" s="4">
        <v>9.1874999999999998E-2</v>
      </c>
      <c r="O332" s="4">
        <v>1.1441779999999999</v>
      </c>
      <c r="P332" s="4">
        <v>-0.116311</v>
      </c>
      <c r="Q332" s="4">
        <v>-1.10242</v>
      </c>
      <c r="R332" s="4">
        <v>-1.8218999999999999E-2</v>
      </c>
      <c r="S332" s="4">
        <v>-0.29338999999999998</v>
      </c>
      <c r="T332" s="4">
        <v>-0.48832199999999998</v>
      </c>
    </row>
    <row r="333" spans="1:20" ht="18">
      <c r="A333" s="2">
        <f t="shared" si="101"/>
        <v>332</v>
      </c>
      <c r="B333" s="7" t="s">
        <v>877</v>
      </c>
      <c r="I333" s="15" t="s">
        <v>353</v>
      </c>
      <c r="J333" s="15">
        <v>331</v>
      </c>
      <c r="K333" s="4">
        <v>-1.0192540000000001</v>
      </c>
      <c r="L333" s="4">
        <v>0.32849499999999998</v>
      </c>
      <c r="M333" s="4">
        <v>-1.3900410000000001</v>
      </c>
      <c r="N333" s="4">
        <v>-0.39899499999999999</v>
      </c>
      <c r="O333" s="4">
        <v>-0.43234899999999998</v>
      </c>
      <c r="P333" s="4">
        <v>1.1153439999999999</v>
      </c>
      <c r="Q333" s="4">
        <v>-0.687025</v>
      </c>
      <c r="R333" s="4">
        <v>-1.4563440000000001</v>
      </c>
      <c r="S333" s="4">
        <v>1.161721</v>
      </c>
      <c r="T333" s="4">
        <v>-0.179317</v>
      </c>
    </row>
    <row r="334" spans="1:20" ht="18">
      <c r="A334" s="2">
        <f t="shared" si="101"/>
        <v>333</v>
      </c>
      <c r="B334" s="7" t="s">
        <v>878</v>
      </c>
      <c r="I334" s="15" t="s">
        <v>354</v>
      </c>
      <c r="J334" s="15">
        <v>332</v>
      </c>
      <c r="K334" s="4">
        <v>-0.94482500000000003</v>
      </c>
      <c r="L334" s="4">
        <v>-1.4298299999999999</v>
      </c>
      <c r="M334" s="4">
        <v>-0.54664699999999999</v>
      </c>
      <c r="N334" s="4">
        <v>0.41635699999999998</v>
      </c>
      <c r="O334" s="4">
        <v>0.30367300000000003</v>
      </c>
      <c r="P334" s="4">
        <v>1.128943</v>
      </c>
      <c r="Q334" s="4">
        <v>0.62628099999999998</v>
      </c>
      <c r="R334" s="4">
        <v>-0.79628500000000002</v>
      </c>
      <c r="S334" s="4">
        <v>-0.127471</v>
      </c>
      <c r="T334" s="4">
        <v>-0.63680899999999996</v>
      </c>
    </row>
    <row r="335" spans="1:20" ht="18">
      <c r="A335" s="2">
        <f t="shared" si="101"/>
        <v>334</v>
      </c>
      <c r="B335" s="7" t="s">
        <v>879</v>
      </c>
      <c r="I335" s="15" t="s">
        <v>355</v>
      </c>
      <c r="J335" s="15">
        <v>333</v>
      </c>
      <c r="K335" s="4">
        <v>-0.82903700000000002</v>
      </c>
      <c r="L335" s="4">
        <v>1.456116</v>
      </c>
      <c r="M335" s="4">
        <v>0.91049100000000005</v>
      </c>
      <c r="N335" s="4">
        <v>0.39716299999999999</v>
      </c>
      <c r="O335" s="4">
        <v>0.33055099999999998</v>
      </c>
      <c r="P335" s="4">
        <v>0.50611700000000004</v>
      </c>
      <c r="Q335" s="4">
        <v>0.26130399999999998</v>
      </c>
      <c r="R335" s="4">
        <v>1.5367E-2</v>
      </c>
      <c r="S335" s="4">
        <v>-2.2570070000000002</v>
      </c>
      <c r="T335" s="4">
        <v>0.20616399999999999</v>
      </c>
    </row>
    <row r="336" spans="1:20" ht="18">
      <c r="A336" s="2">
        <f t="shared" si="101"/>
        <v>335</v>
      </c>
      <c r="B336" s="7" t="s">
        <v>880</v>
      </c>
      <c r="I336" s="15" t="s">
        <v>356</v>
      </c>
      <c r="J336" s="15">
        <v>334</v>
      </c>
      <c r="K336" s="4">
        <v>0.42978699999999997</v>
      </c>
      <c r="L336" s="4">
        <v>-0.178842</v>
      </c>
      <c r="M336" s="4">
        <v>0.629521</v>
      </c>
      <c r="N336" s="4">
        <v>0.33471099999999998</v>
      </c>
      <c r="O336" s="4">
        <v>-2.6774879999999999</v>
      </c>
      <c r="P336" s="4">
        <v>-0.48555900000000002</v>
      </c>
      <c r="Q336" s="4">
        <v>-2.1547459999999998</v>
      </c>
      <c r="R336" s="4">
        <v>0.664829</v>
      </c>
      <c r="S336" s="4">
        <v>-1.671386</v>
      </c>
      <c r="T336" s="4">
        <v>1.2563629999999999</v>
      </c>
    </row>
    <row r="337" spans="1:20" ht="18">
      <c r="A337" s="2">
        <f t="shared" si="101"/>
        <v>336</v>
      </c>
      <c r="B337" s="7" t="s">
        <v>881</v>
      </c>
      <c r="I337" s="15" t="s">
        <v>357</v>
      </c>
      <c r="J337" s="15">
        <v>335</v>
      </c>
      <c r="K337" s="4">
        <v>-0.34251300000000001</v>
      </c>
      <c r="L337" s="4">
        <v>-1.4237690000000001</v>
      </c>
      <c r="M337" s="4">
        <v>-0.53927899999999995</v>
      </c>
      <c r="N337" s="4">
        <v>2.014716</v>
      </c>
      <c r="O337" s="4">
        <v>-0.58995200000000003</v>
      </c>
      <c r="P337" s="4">
        <v>0.83240899999999995</v>
      </c>
      <c r="Q337" s="4">
        <v>-1.205376</v>
      </c>
      <c r="R337" s="4">
        <v>2.312227</v>
      </c>
      <c r="S337" s="4">
        <v>0.44480199999999998</v>
      </c>
      <c r="T337" s="4">
        <v>-1.416193</v>
      </c>
    </row>
    <row r="338" spans="1:20" ht="18">
      <c r="A338" s="2">
        <f t="shared" si="101"/>
        <v>337</v>
      </c>
      <c r="B338" s="7" t="s">
        <v>882</v>
      </c>
      <c r="I338" s="15" t="s">
        <v>358</v>
      </c>
      <c r="J338" s="15">
        <v>336</v>
      </c>
      <c r="K338" s="4">
        <v>0.84445499999999996</v>
      </c>
      <c r="L338" s="4">
        <v>0.59863900000000003</v>
      </c>
      <c r="M338" s="4">
        <v>1.6230549999999999</v>
      </c>
      <c r="N338" s="4">
        <v>0.95764099999999996</v>
      </c>
      <c r="O338" s="4">
        <v>0.205566</v>
      </c>
      <c r="P338" s="4">
        <v>-0.52851700000000001</v>
      </c>
      <c r="Q338" s="4">
        <v>-3.4921000000000001E-2</v>
      </c>
      <c r="R338" s="4">
        <v>-0.18290400000000001</v>
      </c>
      <c r="S338" s="4">
        <v>-3.2302999999999998E-2</v>
      </c>
      <c r="T338" s="4">
        <v>-1.325558</v>
      </c>
    </row>
    <row r="339" spans="1:20" ht="18">
      <c r="A339" s="2">
        <f t="shared" si="101"/>
        <v>338</v>
      </c>
      <c r="B339" s="7" t="s">
        <v>883</v>
      </c>
      <c r="I339" s="15" t="s">
        <v>359</v>
      </c>
      <c r="J339" s="15">
        <v>337</v>
      </c>
      <c r="K339" s="4">
        <v>-2.9503999999999999E-2</v>
      </c>
      <c r="L339" s="4">
        <v>-1.3986449999999999</v>
      </c>
      <c r="M339" s="4">
        <v>-4.9468999999999999E-2</v>
      </c>
      <c r="N339" s="4">
        <v>0.43055900000000003</v>
      </c>
      <c r="O339" s="4">
        <v>-0.76424099999999995</v>
      </c>
      <c r="P339" s="4">
        <v>0.37575700000000001</v>
      </c>
      <c r="Q339" s="4">
        <v>-0.93294100000000002</v>
      </c>
      <c r="R339" s="4">
        <v>-1.912337</v>
      </c>
      <c r="S339" s="4">
        <v>-0.41853299999999999</v>
      </c>
      <c r="T339" s="4">
        <v>1.342263</v>
      </c>
    </row>
    <row r="340" spans="1:20" ht="18">
      <c r="A340" s="2">
        <f t="shared" si="101"/>
        <v>339</v>
      </c>
      <c r="B340" s="7" t="s">
        <v>884</v>
      </c>
      <c r="I340" s="15" t="s">
        <v>360</v>
      </c>
      <c r="J340" s="15">
        <v>338</v>
      </c>
      <c r="K340" s="4">
        <v>-1.82023</v>
      </c>
      <c r="L340" s="4">
        <v>-0.76376299999999997</v>
      </c>
      <c r="M340" s="4">
        <v>6.1460000000000001E-2</v>
      </c>
      <c r="N340" s="4">
        <v>1.001296</v>
      </c>
      <c r="O340" s="4">
        <v>-0.92219200000000001</v>
      </c>
      <c r="P340" s="4">
        <v>-2.149858</v>
      </c>
      <c r="Q340" s="4">
        <v>0.59941</v>
      </c>
      <c r="R340" s="4">
        <v>0.40752500000000003</v>
      </c>
      <c r="S340" s="4">
        <v>0.64618500000000001</v>
      </c>
      <c r="T340" s="4">
        <v>1.0189299999999999</v>
      </c>
    </row>
    <row r="341" spans="1:20" ht="18">
      <c r="A341" s="2">
        <f t="shared" si="101"/>
        <v>340</v>
      </c>
      <c r="B341" s="7" t="s">
        <v>885</v>
      </c>
      <c r="I341" s="15" t="s">
        <v>361</v>
      </c>
      <c r="J341" s="15">
        <v>339</v>
      </c>
      <c r="K341" s="4">
        <v>-1.918636</v>
      </c>
      <c r="L341" s="4">
        <v>2.5535800000000002</v>
      </c>
      <c r="M341" s="4">
        <v>-2.3047000000000002E-2</v>
      </c>
      <c r="N341" s="4">
        <v>0.92694200000000004</v>
      </c>
      <c r="O341" s="4">
        <v>-0.15145400000000001</v>
      </c>
      <c r="P341" s="4">
        <v>-0.33733299999999999</v>
      </c>
      <c r="Q341" s="4">
        <v>1.775984</v>
      </c>
      <c r="R341" s="4">
        <v>6.4792000000000002E-2</v>
      </c>
      <c r="S341" s="4">
        <v>-1.1939029999999999</v>
      </c>
      <c r="T341" s="4">
        <v>0.82703899999999997</v>
      </c>
    </row>
    <row r="342" spans="1:20" ht="18">
      <c r="A342" s="2">
        <f t="shared" si="101"/>
        <v>341</v>
      </c>
      <c r="B342" s="7" t="s">
        <v>886</v>
      </c>
      <c r="I342" s="15" t="s">
        <v>362</v>
      </c>
      <c r="J342" s="15">
        <v>340</v>
      </c>
      <c r="K342" s="4">
        <v>0.89974100000000001</v>
      </c>
      <c r="L342" s="4">
        <v>7.8351000000000004E-2</v>
      </c>
      <c r="M342" s="4">
        <v>-0.75220100000000001</v>
      </c>
      <c r="N342" s="4">
        <v>-1.0969530000000001</v>
      </c>
      <c r="O342" s="4">
        <v>-1.9545380000000001</v>
      </c>
      <c r="P342" s="4">
        <v>-1.45052</v>
      </c>
      <c r="Q342" s="4">
        <v>1.1153459999999999</v>
      </c>
      <c r="R342" s="4">
        <v>1.128611</v>
      </c>
      <c r="S342" s="4">
        <v>-0.17059299999999999</v>
      </c>
      <c r="T342" s="4">
        <v>-1.729751</v>
      </c>
    </row>
    <row r="343" spans="1:20" ht="18">
      <c r="A343" s="2">
        <f t="shared" si="101"/>
        <v>342</v>
      </c>
      <c r="B343" s="7" t="s">
        <v>887</v>
      </c>
      <c r="I343" s="15" t="s">
        <v>363</v>
      </c>
      <c r="J343" s="15">
        <v>341</v>
      </c>
      <c r="K343" s="4">
        <v>0.737541</v>
      </c>
      <c r="L343" s="4">
        <v>-0.84304400000000002</v>
      </c>
      <c r="M343" s="4">
        <v>-0.45968199999999998</v>
      </c>
      <c r="N343" s="4">
        <v>1.5640000000000001E-3</v>
      </c>
      <c r="O343" s="4">
        <v>-0.29927100000000001</v>
      </c>
      <c r="P343" s="4">
        <v>-0.36165599999999998</v>
      </c>
      <c r="Q343" s="4">
        <v>1.33029</v>
      </c>
      <c r="R343" s="4">
        <v>0.394872</v>
      </c>
      <c r="S343" s="4">
        <v>2.9964209999999998</v>
      </c>
      <c r="T343" s="4">
        <v>-0.57778600000000002</v>
      </c>
    </row>
    <row r="344" spans="1:20" ht="18">
      <c r="A344" s="2">
        <f t="shared" si="101"/>
        <v>343</v>
      </c>
      <c r="B344" s="7" t="s">
        <v>888</v>
      </c>
      <c r="I344" s="15" t="s">
        <v>364</v>
      </c>
      <c r="J344" s="15">
        <v>342</v>
      </c>
      <c r="K344" s="4">
        <v>0.15754099999999999</v>
      </c>
      <c r="L344" s="4">
        <v>1.2970520000000001</v>
      </c>
      <c r="M344" s="4">
        <v>0.29162199999999999</v>
      </c>
      <c r="N344" s="4">
        <v>-0.54823100000000002</v>
      </c>
      <c r="O344" s="4">
        <v>0.302844</v>
      </c>
      <c r="P344" s="4">
        <v>-0.24540799999999999</v>
      </c>
      <c r="Q344" s="4">
        <v>-0.79974000000000001</v>
      </c>
      <c r="R344" s="4">
        <v>-7.3205000000000006E-2</v>
      </c>
      <c r="S344" s="4">
        <v>0.46346100000000001</v>
      </c>
      <c r="T344" s="4">
        <v>1.088187</v>
      </c>
    </row>
    <row r="345" spans="1:20" ht="18">
      <c r="A345" s="2">
        <f t="shared" si="101"/>
        <v>344</v>
      </c>
      <c r="B345" s="7" t="s">
        <v>889</v>
      </c>
      <c r="I345" s="15" t="s">
        <v>365</v>
      </c>
      <c r="J345" s="15">
        <v>343</v>
      </c>
      <c r="K345" s="4">
        <v>-1.2905089999999999</v>
      </c>
      <c r="L345" s="4">
        <v>5.6683999999999998E-2</v>
      </c>
      <c r="M345" s="4">
        <v>0.94030899999999995</v>
      </c>
      <c r="N345" s="4">
        <v>0.31551499999999999</v>
      </c>
      <c r="O345" s="4">
        <v>-0.42278300000000002</v>
      </c>
      <c r="P345" s="4">
        <v>0.20213800000000001</v>
      </c>
      <c r="Q345" s="4">
        <v>-1.131391</v>
      </c>
      <c r="R345" s="4">
        <v>1.7339519999999999</v>
      </c>
      <c r="S345" s="4">
        <v>1.9376230000000001</v>
      </c>
      <c r="T345" s="4">
        <v>-1.411724</v>
      </c>
    </row>
    <row r="346" spans="1:20" ht="18">
      <c r="A346" s="2">
        <f t="shared" si="101"/>
        <v>345</v>
      </c>
      <c r="B346" s="7" t="s">
        <v>890</v>
      </c>
      <c r="I346" s="15" t="s">
        <v>366</v>
      </c>
      <c r="J346" s="15">
        <v>344</v>
      </c>
      <c r="K346" s="4">
        <v>0.84761500000000001</v>
      </c>
      <c r="L346" s="4">
        <v>0.197079</v>
      </c>
      <c r="M346" s="4">
        <v>-1.2663169999999999</v>
      </c>
      <c r="N346" s="4">
        <v>1.348816</v>
      </c>
      <c r="O346" s="4">
        <v>0.361925</v>
      </c>
      <c r="P346" s="4">
        <v>0.62083500000000003</v>
      </c>
      <c r="Q346" s="4">
        <v>-1.69021</v>
      </c>
      <c r="R346" s="4">
        <v>1.1737310000000001</v>
      </c>
      <c r="S346" s="4">
        <v>2.1435390000000001</v>
      </c>
      <c r="T346" s="4">
        <v>-0.53234300000000001</v>
      </c>
    </row>
    <row r="347" spans="1:20" ht="18">
      <c r="A347" s="2">
        <f t="shared" si="101"/>
        <v>346</v>
      </c>
      <c r="B347" s="7" t="s">
        <v>891</v>
      </c>
      <c r="I347" s="15" t="s">
        <v>367</v>
      </c>
      <c r="J347" s="15">
        <v>345</v>
      </c>
      <c r="K347" s="4">
        <v>0.23729900000000001</v>
      </c>
      <c r="L347" s="4">
        <v>0.96818599999999999</v>
      </c>
      <c r="M347" s="4">
        <v>1.9325999999999999E-2</v>
      </c>
      <c r="N347" s="4">
        <v>0.57138199999999995</v>
      </c>
      <c r="O347" s="4">
        <v>0.66533100000000001</v>
      </c>
      <c r="P347" s="4">
        <v>0.41352100000000003</v>
      </c>
      <c r="Q347" s="4">
        <v>-0.112027</v>
      </c>
      <c r="R347" s="4">
        <v>1.80585</v>
      </c>
      <c r="S347" s="4">
        <v>-0.76487499999999997</v>
      </c>
      <c r="T347" s="4">
        <v>1.147573</v>
      </c>
    </row>
    <row r="348" spans="1:20" ht="18">
      <c r="A348" s="2">
        <f t="shared" si="101"/>
        <v>347</v>
      </c>
      <c r="B348" s="7" t="s">
        <v>892</v>
      </c>
      <c r="I348" s="15" t="s">
        <v>368</v>
      </c>
      <c r="J348" s="15">
        <v>346</v>
      </c>
      <c r="K348" s="4">
        <v>-1.0613140000000001</v>
      </c>
      <c r="L348" s="4">
        <v>-0.77196399999999998</v>
      </c>
      <c r="M348" s="4">
        <v>1.886036</v>
      </c>
      <c r="N348" s="4">
        <v>-4.5505999999999998E-2</v>
      </c>
      <c r="O348" s="4">
        <v>-0.89826499999999998</v>
      </c>
      <c r="P348" s="4">
        <v>0.47794999999999999</v>
      </c>
      <c r="Q348" s="4">
        <v>-1.8856000000000001E-2</v>
      </c>
      <c r="R348" s="4">
        <v>0.27865299999999998</v>
      </c>
      <c r="S348" s="4">
        <v>4.2444999999999997E-2</v>
      </c>
      <c r="T348" s="4">
        <v>8.3956000000000003E-2</v>
      </c>
    </row>
    <row r="349" spans="1:20" ht="18">
      <c r="A349" s="2">
        <f t="shared" si="101"/>
        <v>348</v>
      </c>
      <c r="B349" s="7" t="s">
        <v>893</v>
      </c>
      <c r="I349" s="15" t="s">
        <v>369</v>
      </c>
      <c r="J349" s="15">
        <v>347</v>
      </c>
      <c r="K349" s="4">
        <v>0.55945400000000001</v>
      </c>
      <c r="L349" s="4">
        <v>1.413319</v>
      </c>
      <c r="M349" s="4">
        <v>-0.70959899999999998</v>
      </c>
      <c r="N349" s="4">
        <v>-0.76731400000000005</v>
      </c>
      <c r="O349" s="4">
        <v>-1.107526</v>
      </c>
      <c r="P349" s="4">
        <v>-0.49283399999999999</v>
      </c>
      <c r="Q349" s="4">
        <v>0.17920700000000001</v>
      </c>
      <c r="R349" s="4">
        <v>1.130509</v>
      </c>
      <c r="S349" s="4">
        <v>-1.18119</v>
      </c>
      <c r="T349" s="4">
        <v>0.58744300000000005</v>
      </c>
    </row>
    <row r="350" spans="1:20" ht="18">
      <c r="A350" s="2">
        <f t="shared" si="101"/>
        <v>349</v>
      </c>
      <c r="B350" s="7" t="s">
        <v>894</v>
      </c>
      <c r="I350" s="15" t="s">
        <v>370</v>
      </c>
      <c r="J350" s="15">
        <v>348</v>
      </c>
      <c r="K350" s="4">
        <v>-2.3006009999999999</v>
      </c>
      <c r="L350" s="4">
        <v>-0.11744400000000001</v>
      </c>
      <c r="M350" s="4">
        <v>0.121574</v>
      </c>
      <c r="N350" s="4">
        <v>-2.363953</v>
      </c>
      <c r="O350" s="4">
        <v>2.9776E-2</v>
      </c>
      <c r="P350" s="4">
        <v>-2.1454840000000002</v>
      </c>
      <c r="Q350" s="4">
        <v>0.24399599999999999</v>
      </c>
      <c r="R350" s="4">
        <v>0.45776899999999998</v>
      </c>
      <c r="S350" s="4">
        <v>0.60460800000000003</v>
      </c>
      <c r="T350" s="4">
        <v>-1.156166</v>
      </c>
    </row>
    <row r="351" spans="1:20" ht="18">
      <c r="A351" s="2">
        <f t="shared" si="101"/>
        <v>350</v>
      </c>
      <c r="B351" s="7" t="s">
        <v>895</v>
      </c>
      <c r="I351" s="15" t="s">
        <v>371</v>
      </c>
      <c r="J351" s="15">
        <v>349</v>
      </c>
      <c r="K351" s="4">
        <v>3.1161000000000001E-2</v>
      </c>
      <c r="L351" s="4">
        <v>-1.1430720000000001</v>
      </c>
      <c r="M351" s="4">
        <v>-0.63342600000000004</v>
      </c>
      <c r="N351" s="4">
        <v>2.214105</v>
      </c>
      <c r="O351" s="4">
        <v>-0.20245299999999999</v>
      </c>
      <c r="P351" s="4">
        <v>0.67125299999999999</v>
      </c>
      <c r="Q351" s="4">
        <v>-0.74234199999999995</v>
      </c>
      <c r="R351" s="4">
        <v>-0.983904</v>
      </c>
      <c r="S351" s="4">
        <v>1.0965780000000001</v>
      </c>
      <c r="T351" s="4">
        <v>0.32883600000000002</v>
      </c>
    </row>
    <row r="352" spans="1:20" ht="18">
      <c r="A352" s="2">
        <f t="shared" si="101"/>
        <v>351</v>
      </c>
      <c r="B352" s="7" t="s">
        <v>896</v>
      </c>
      <c r="I352" s="15" t="s">
        <v>372</v>
      </c>
      <c r="J352" s="15">
        <v>350</v>
      </c>
      <c r="K352" s="4">
        <v>-2.1299450000000002</v>
      </c>
      <c r="L352" s="4">
        <v>0.23072100000000001</v>
      </c>
      <c r="M352" s="4">
        <v>1.4298489999999999</v>
      </c>
      <c r="N352" s="4">
        <v>0.98329699999999998</v>
      </c>
      <c r="O352" s="4">
        <v>0.77204200000000001</v>
      </c>
      <c r="P352" s="4">
        <v>-1.19438</v>
      </c>
      <c r="Q352" s="4">
        <v>0.29600100000000001</v>
      </c>
      <c r="R352" s="4">
        <v>1.0549869999999999</v>
      </c>
      <c r="S352" s="4">
        <v>0.68809399999999998</v>
      </c>
      <c r="T352" s="4">
        <v>-0.15848799999999999</v>
      </c>
    </row>
    <row r="353" spans="1:20" ht="18">
      <c r="A353" s="2">
        <f t="shared" si="101"/>
        <v>352</v>
      </c>
      <c r="B353" s="7" t="s">
        <v>897</v>
      </c>
      <c r="I353" s="15" t="s">
        <v>373</v>
      </c>
      <c r="J353" s="15">
        <v>351</v>
      </c>
      <c r="K353" s="4">
        <v>0.117074</v>
      </c>
      <c r="L353" s="4">
        <v>-0.36156100000000002</v>
      </c>
      <c r="M353" s="4">
        <v>-1.2384850000000001</v>
      </c>
      <c r="N353" s="4">
        <v>2.107167</v>
      </c>
      <c r="O353" s="4">
        <v>-0.73866699999999996</v>
      </c>
      <c r="P353" s="4">
        <v>-1.2780100000000001</v>
      </c>
      <c r="Q353" s="4">
        <v>0.13245100000000001</v>
      </c>
      <c r="R353" s="4">
        <v>-0.99553100000000005</v>
      </c>
      <c r="S353" s="4">
        <v>-0.188584</v>
      </c>
      <c r="T353" s="4">
        <v>-5.7988999999999999E-2</v>
      </c>
    </row>
    <row r="354" spans="1:20" ht="18">
      <c r="A354" s="2">
        <f t="shared" si="101"/>
        <v>353</v>
      </c>
      <c r="B354" s="7" t="s">
        <v>898</v>
      </c>
      <c r="I354" s="15" t="s">
        <v>374</v>
      </c>
      <c r="J354" s="15">
        <v>352</v>
      </c>
      <c r="K354" s="4">
        <v>-1.948591</v>
      </c>
      <c r="L354" s="4">
        <v>-0.92520400000000003</v>
      </c>
      <c r="M354" s="4">
        <v>-8.9778999999999998E-2</v>
      </c>
      <c r="N354" s="4">
        <v>-0.48825400000000002</v>
      </c>
      <c r="O354" s="4">
        <v>5.0172000000000001E-2</v>
      </c>
      <c r="P354" s="4">
        <v>0.45268000000000003</v>
      </c>
      <c r="Q354" s="4">
        <v>0.53537699999999999</v>
      </c>
      <c r="R354" s="4">
        <v>-0.90246000000000004</v>
      </c>
      <c r="S354" s="4">
        <v>0.75523399999999996</v>
      </c>
      <c r="T354" s="4">
        <v>-0.90152100000000002</v>
      </c>
    </row>
    <row r="355" spans="1:20" ht="18">
      <c r="A355" s="2">
        <f t="shared" si="101"/>
        <v>354</v>
      </c>
      <c r="B355" s="7" t="s">
        <v>899</v>
      </c>
      <c r="I355" s="15" t="s">
        <v>375</v>
      </c>
      <c r="J355" s="15">
        <v>353</v>
      </c>
      <c r="K355" s="4">
        <v>-1.5820000000000001E-2</v>
      </c>
      <c r="L355" s="4">
        <v>-0.27885599999999999</v>
      </c>
      <c r="M355" s="4">
        <v>-0.96560800000000002</v>
      </c>
      <c r="N355" s="4">
        <v>0.41685100000000003</v>
      </c>
      <c r="O355" s="4">
        <v>-2.4204E-2</v>
      </c>
      <c r="P355" s="4">
        <v>-0.75996900000000001</v>
      </c>
      <c r="Q355" s="4">
        <v>0.74556</v>
      </c>
      <c r="R355" s="4">
        <v>-0.11988</v>
      </c>
      <c r="S355" s="4">
        <v>4.7660000000000001E-2</v>
      </c>
      <c r="T355" s="4">
        <v>0.97485200000000005</v>
      </c>
    </row>
    <row r="356" spans="1:20" ht="18">
      <c r="A356" s="2">
        <f t="shared" si="101"/>
        <v>355</v>
      </c>
      <c r="B356" s="7" t="s">
        <v>900</v>
      </c>
      <c r="I356" s="15" t="s">
        <v>376</v>
      </c>
      <c r="J356" s="15">
        <v>354</v>
      </c>
      <c r="K356" s="4">
        <v>-8.0824999999999994E-2</v>
      </c>
      <c r="L356" s="4">
        <v>-1.160428</v>
      </c>
      <c r="M356" s="4">
        <v>-1.3351869999999999</v>
      </c>
      <c r="N356" s="4">
        <v>-1.7334970000000001</v>
      </c>
      <c r="O356" s="4">
        <v>-0.58872500000000005</v>
      </c>
      <c r="P356" s="4">
        <v>0.94015199999999999</v>
      </c>
      <c r="Q356" s="4">
        <v>-0.71333899999999995</v>
      </c>
      <c r="R356" s="4">
        <v>0.44042300000000001</v>
      </c>
      <c r="S356" s="4">
        <v>-2.870174</v>
      </c>
      <c r="T356" s="4">
        <v>-0.112359</v>
      </c>
    </row>
    <row r="357" spans="1:20" ht="18">
      <c r="A357" s="2">
        <f t="shared" si="101"/>
        <v>356</v>
      </c>
      <c r="B357" s="7" t="s">
        <v>901</v>
      </c>
      <c r="I357" s="15" t="s">
        <v>377</v>
      </c>
      <c r="J357" s="15">
        <v>355</v>
      </c>
      <c r="K357" s="4">
        <v>0.25939200000000001</v>
      </c>
      <c r="L357" s="4">
        <v>-0.89280400000000004</v>
      </c>
      <c r="M357" s="4">
        <v>-0.54131399999999996</v>
      </c>
      <c r="N357" s="4">
        <v>-1.7150970000000001</v>
      </c>
      <c r="O357" s="4">
        <v>1.077979</v>
      </c>
      <c r="P357" s="4">
        <v>0.53302400000000005</v>
      </c>
      <c r="Q357" s="4">
        <v>-1.2631730000000001</v>
      </c>
      <c r="R357" s="4">
        <v>1.4121010000000001</v>
      </c>
      <c r="S357" s="4">
        <v>8.2534999999999997E-2</v>
      </c>
      <c r="T357" s="4">
        <v>-0.28139999999999998</v>
      </c>
    </row>
    <row r="358" spans="1:20" ht="18">
      <c r="A358" s="2">
        <f t="shared" si="101"/>
        <v>357</v>
      </c>
      <c r="B358" s="7" t="s">
        <v>902</v>
      </c>
      <c r="I358" s="15" t="s">
        <v>378</v>
      </c>
      <c r="J358" s="15">
        <v>356</v>
      </c>
      <c r="K358" s="4">
        <v>-0.70735300000000001</v>
      </c>
      <c r="L358" s="4">
        <v>0.65423900000000001</v>
      </c>
      <c r="M358" s="4">
        <v>6.9990999999999998E-2</v>
      </c>
      <c r="N358" s="4">
        <v>-0.63549299999999997</v>
      </c>
      <c r="O358" s="4">
        <v>3.9269999999999999E-2</v>
      </c>
      <c r="P358" s="4">
        <v>0.43057400000000001</v>
      </c>
      <c r="Q358" s="4">
        <v>7.6051999999999995E-2</v>
      </c>
      <c r="R358" s="4">
        <v>-1.4500839999999999</v>
      </c>
      <c r="S358" s="4">
        <v>1.063572</v>
      </c>
      <c r="T358" s="4">
        <v>-0.62456800000000001</v>
      </c>
    </row>
    <row r="359" spans="1:20" ht="18">
      <c r="A359" s="2">
        <f t="shared" si="101"/>
        <v>358</v>
      </c>
      <c r="B359" s="7" t="s">
        <v>903</v>
      </c>
      <c r="I359" s="15" t="s">
        <v>379</v>
      </c>
      <c r="J359" s="15">
        <v>357</v>
      </c>
      <c r="K359" s="4">
        <v>1.378236</v>
      </c>
      <c r="L359" s="4">
        <v>0.13015499999999999</v>
      </c>
      <c r="M359" s="4">
        <v>-0.71636999999999995</v>
      </c>
      <c r="N359" s="4">
        <v>-0.86667700000000003</v>
      </c>
      <c r="O359" s="4">
        <v>-1.211571</v>
      </c>
      <c r="P359" s="4">
        <v>1.4674069999999999</v>
      </c>
      <c r="Q359" s="4">
        <v>-0.97499599999999997</v>
      </c>
      <c r="R359" s="4">
        <v>2.5834980000000001</v>
      </c>
      <c r="S359" s="4">
        <v>0.15076200000000001</v>
      </c>
      <c r="T359" s="4">
        <v>1.228016</v>
      </c>
    </row>
    <row r="360" spans="1:20" ht="18">
      <c r="A360" s="2">
        <f t="shared" si="101"/>
        <v>359</v>
      </c>
      <c r="B360" s="7" t="s">
        <v>904</v>
      </c>
      <c r="I360" s="15" t="s">
        <v>380</v>
      </c>
      <c r="J360" s="15">
        <v>358</v>
      </c>
      <c r="K360" s="4">
        <v>0.15335599999999999</v>
      </c>
      <c r="L360" s="4">
        <v>-0.93664000000000003</v>
      </c>
      <c r="M360" s="4">
        <v>-0.52300999999999997</v>
      </c>
      <c r="N360" s="4">
        <v>0.47157500000000002</v>
      </c>
      <c r="O360" s="4">
        <v>-1.542978</v>
      </c>
      <c r="P360" s="4">
        <v>1.0151220000000001</v>
      </c>
      <c r="Q360" s="4">
        <v>-0.16195499999999999</v>
      </c>
      <c r="R360" s="4">
        <v>-2.2235140000000002</v>
      </c>
      <c r="S360" s="4">
        <v>1.358881</v>
      </c>
      <c r="T360" s="4">
        <v>2.4242170000000001</v>
      </c>
    </row>
    <row r="361" spans="1:20" ht="18">
      <c r="A361" s="2">
        <f t="shared" si="101"/>
        <v>360</v>
      </c>
      <c r="B361" s="7" t="s">
        <v>905</v>
      </c>
      <c r="I361" s="15" t="s">
        <v>381</v>
      </c>
      <c r="J361" s="15">
        <v>359</v>
      </c>
      <c r="K361" s="4">
        <v>0.34420000000000001</v>
      </c>
      <c r="L361" s="4">
        <v>1.7910619999999999</v>
      </c>
      <c r="M361" s="4">
        <v>0.95593700000000004</v>
      </c>
      <c r="N361" s="4">
        <v>0.199764</v>
      </c>
      <c r="O361" s="4">
        <v>1.747563</v>
      </c>
      <c r="P361" s="4">
        <v>0.357595</v>
      </c>
      <c r="Q361" s="4">
        <v>-0.67961899999999997</v>
      </c>
      <c r="R361" s="4">
        <v>0.76968599999999998</v>
      </c>
      <c r="S361" s="4">
        <v>-5.7958999999999997E-2</v>
      </c>
      <c r="T361" s="4">
        <v>3.7020999999999998E-2</v>
      </c>
    </row>
    <row r="362" spans="1:20" ht="18">
      <c r="A362" s="2">
        <f t="shared" si="101"/>
        <v>361</v>
      </c>
      <c r="B362" s="7" t="s">
        <v>906</v>
      </c>
      <c r="I362" s="15" t="s">
        <v>382</v>
      </c>
      <c r="J362" s="15">
        <v>360</v>
      </c>
      <c r="K362" s="4">
        <v>-0.18229600000000001</v>
      </c>
      <c r="L362" s="4">
        <v>-0.67930500000000005</v>
      </c>
      <c r="M362" s="4">
        <v>-0.74211899999999997</v>
      </c>
      <c r="N362" s="4">
        <v>-1.8865670000000001</v>
      </c>
      <c r="O362" s="4">
        <v>0.34582200000000002</v>
      </c>
      <c r="P362" s="4">
        <v>3.5791999999999997E-2</v>
      </c>
      <c r="Q362" s="4">
        <v>0.13584299999999999</v>
      </c>
      <c r="R362" s="4">
        <v>0.79089900000000002</v>
      </c>
      <c r="S362" s="4">
        <v>0.96132899999999999</v>
      </c>
      <c r="T362" s="4">
        <v>0.41314499999999998</v>
      </c>
    </row>
    <row r="363" spans="1:20" ht="18">
      <c r="A363" s="2">
        <f t="shared" si="101"/>
        <v>362</v>
      </c>
      <c r="B363" s="7" t="s">
        <v>907</v>
      </c>
      <c r="I363" s="15" t="s">
        <v>383</v>
      </c>
      <c r="J363" s="15">
        <v>361</v>
      </c>
      <c r="K363" s="4">
        <v>-2.2005370000000002</v>
      </c>
      <c r="L363" s="4">
        <v>0.85204000000000002</v>
      </c>
      <c r="M363" s="4">
        <v>-1.181486</v>
      </c>
      <c r="N363" s="4">
        <v>0.99345899999999998</v>
      </c>
      <c r="O363" s="4">
        <v>-2.8717359999999998</v>
      </c>
      <c r="P363" s="4">
        <v>-1.0579019999999999</v>
      </c>
      <c r="Q363" s="4">
        <v>-9.1928999999999997E-2</v>
      </c>
      <c r="R363" s="4">
        <v>0.19270799999999999</v>
      </c>
      <c r="S363" s="4">
        <v>-0.51688299999999998</v>
      </c>
      <c r="T363" s="4">
        <v>-5.5210000000000002E-2</v>
      </c>
    </row>
    <row r="364" spans="1:20" ht="18">
      <c r="A364" s="2">
        <f t="shared" si="101"/>
        <v>363</v>
      </c>
      <c r="B364" s="7" t="s">
        <v>908</v>
      </c>
      <c r="I364" s="15" t="s">
        <v>384</v>
      </c>
      <c r="J364" s="15">
        <v>362</v>
      </c>
      <c r="K364" s="4">
        <v>-0.34232699999999999</v>
      </c>
      <c r="L364" s="4">
        <v>-3.1322000000000003E-2</v>
      </c>
      <c r="M364" s="4">
        <v>-0.48606100000000002</v>
      </c>
      <c r="N364" s="4">
        <v>-1.253943</v>
      </c>
      <c r="O364" s="4">
        <v>4.2820999999999998E-2</v>
      </c>
      <c r="P364" s="4">
        <v>-0.76235600000000003</v>
      </c>
      <c r="Q364" s="4">
        <v>-0.87053000000000003</v>
      </c>
      <c r="R364" s="4">
        <v>1.449084</v>
      </c>
      <c r="S364" s="4">
        <v>0.884992</v>
      </c>
      <c r="T364" s="4">
        <v>-0.78030600000000006</v>
      </c>
    </row>
    <row r="365" spans="1:20" ht="18">
      <c r="A365" s="2">
        <f t="shared" si="101"/>
        <v>364</v>
      </c>
      <c r="B365" s="7" t="s">
        <v>909</v>
      </c>
      <c r="I365" s="15" t="s">
        <v>385</v>
      </c>
      <c r="J365" s="15">
        <v>363</v>
      </c>
      <c r="K365" s="4">
        <v>-0.155364</v>
      </c>
      <c r="L365" s="4">
        <v>0.29455700000000001</v>
      </c>
      <c r="M365" s="4">
        <v>0.204126</v>
      </c>
      <c r="N365" s="4">
        <v>0.58392999999999995</v>
      </c>
      <c r="O365" s="4">
        <v>-7.1554999999999994E-2</v>
      </c>
      <c r="P365" s="4">
        <v>-0.27487800000000001</v>
      </c>
      <c r="Q365" s="4">
        <v>0.84928000000000003</v>
      </c>
      <c r="R365" s="4">
        <v>-0.28537800000000002</v>
      </c>
      <c r="S365" s="4">
        <v>-0.46936800000000001</v>
      </c>
      <c r="T365" s="4">
        <v>-1.1341639999999999</v>
      </c>
    </row>
    <row r="366" spans="1:20" ht="18">
      <c r="A366" s="2">
        <f t="shared" si="101"/>
        <v>365</v>
      </c>
      <c r="B366" s="7" t="s">
        <v>910</v>
      </c>
      <c r="I366" s="15" t="s">
        <v>386</v>
      </c>
      <c r="J366" s="15">
        <v>364</v>
      </c>
      <c r="K366" s="4">
        <v>0.24365000000000001</v>
      </c>
      <c r="L366" s="4">
        <v>-2.1539799999999998</v>
      </c>
      <c r="M366" s="4">
        <v>-0.38384699999999999</v>
      </c>
      <c r="N366" s="4">
        <v>9.6143999999999993E-2</v>
      </c>
      <c r="O366" s="4">
        <v>0.92046600000000001</v>
      </c>
      <c r="P366" s="4">
        <v>0.45891999999999999</v>
      </c>
      <c r="Q366" s="4">
        <v>0.64743600000000001</v>
      </c>
      <c r="R366" s="4">
        <v>-3.7532999999999997E-2</v>
      </c>
      <c r="S366" s="4">
        <v>-0.50818799999999997</v>
      </c>
      <c r="T366" s="4">
        <v>1.66893</v>
      </c>
    </row>
    <row r="367" spans="1:20" ht="18">
      <c r="A367" s="2">
        <f t="shared" si="101"/>
        <v>366</v>
      </c>
      <c r="B367" s="7" t="s">
        <v>911</v>
      </c>
      <c r="I367" s="15" t="s">
        <v>387</v>
      </c>
      <c r="J367" s="15">
        <v>365</v>
      </c>
      <c r="K367" s="4">
        <v>-0.18047299999999999</v>
      </c>
      <c r="L367" s="4">
        <v>-0.45983600000000002</v>
      </c>
      <c r="M367" s="4">
        <v>1.1767650000000001</v>
      </c>
      <c r="N367" s="4">
        <v>-0.61687899999999996</v>
      </c>
      <c r="O367" s="4">
        <v>-0.78266800000000003</v>
      </c>
      <c r="P367" s="4">
        <v>1.6467750000000001</v>
      </c>
      <c r="Q367" s="4">
        <v>-0.58237099999999997</v>
      </c>
      <c r="R367" s="4">
        <v>-0.79742400000000002</v>
      </c>
      <c r="S367" s="4">
        <v>2.1518860000000002</v>
      </c>
      <c r="T367" s="4">
        <v>-0.75904799999999994</v>
      </c>
    </row>
    <row r="368" spans="1:20" ht="18">
      <c r="A368" s="2">
        <f t="shared" si="101"/>
        <v>367</v>
      </c>
      <c r="B368" s="7" t="s">
        <v>912</v>
      </c>
      <c r="I368" s="15" t="s">
        <v>388</v>
      </c>
      <c r="J368" s="15">
        <v>366</v>
      </c>
      <c r="K368" s="4">
        <v>1.220739</v>
      </c>
      <c r="L368" s="4">
        <v>-1.0238130000000001</v>
      </c>
      <c r="M368" s="4">
        <v>1.1475329999999999</v>
      </c>
      <c r="N368" s="4">
        <v>-1.1801459999999999</v>
      </c>
      <c r="O368" s="4">
        <v>-1.4954970000000001</v>
      </c>
      <c r="P368" s="4">
        <v>-0.30097200000000002</v>
      </c>
      <c r="Q368" s="4">
        <v>0.89435600000000004</v>
      </c>
      <c r="R368" s="4">
        <v>0.20194999999999999</v>
      </c>
      <c r="S368" s="4">
        <v>-1.041345</v>
      </c>
      <c r="T368" s="4">
        <v>-1.1605000000000001E-2</v>
      </c>
    </row>
    <row r="369" spans="1:20" ht="18">
      <c r="A369" s="2">
        <f t="shared" si="101"/>
        <v>368</v>
      </c>
      <c r="B369" s="7" t="s">
        <v>913</v>
      </c>
      <c r="I369" s="15" t="s">
        <v>389</v>
      </c>
      <c r="J369" s="15">
        <v>367</v>
      </c>
      <c r="K369" s="4">
        <v>-0.33390300000000001</v>
      </c>
      <c r="L369" s="4">
        <v>-1.088773</v>
      </c>
      <c r="M369" s="4">
        <v>-0.35205799999999998</v>
      </c>
      <c r="N369" s="4">
        <v>-0.128551</v>
      </c>
      <c r="O369" s="4">
        <v>1.2062470000000001</v>
      </c>
      <c r="P369" s="4">
        <v>1.3152900000000001</v>
      </c>
      <c r="Q369" s="4">
        <v>-0.75414300000000001</v>
      </c>
      <c r="R369" s="4">
        <v>0.35202899999999998</v>
      </c>
      <c r="S369" s="4">
        <v>0.47916700000000001</v>
      </c>
      <c r="T369" s="4">
        <v>0.24402399999999999</v>
      </c>
    </row>
    <row r="370" spans="1:20" ht="18">
      <c r="A370" s="2">
        <f t="shared" si="101"/>
        <v>369</v>
      </c>
      <c r="B370" s="7" t="s">
        <v>914</v>
      </c>
      <c r="I370" s="15" t="s">
        <v>390</v>
      </c>
      <c r="J370" s="15">
        <v>368</v>
      </c>
      <c r="K370" s="4">
        <v>-2.8051119999999998</v>
      </c>
      <c r="L370" s="4">
        <v>0.84372800000000003</v>
      </c>
      <c r="M370" s="4">
        <v>-0.68751300000000004</v>
      </c>
      <c r="N370" s="4">
        <v>0.15789</v>
      </c>
      <c r="O370" s="4">
        <v>-0.55926200000000004</v>
      </c>
      <c r="P370" s="4">
        <v>-0.61907599999999996</v>
      </c>
      <c r="Q370" s="4">
        <v>0.79664100000000004</v>
      </c>
      <c r="R370" s="4">
        <v>-0.71144600000000002</v>
      </c>
      <c r="S370" s="4">
        <v>-1.7016119999999999</v>
      </c>
      <c r="T370" s="4">
        <v>-3.2225999999999998E-2</v>
      </c>
    </row>
    <row r="371" spans="1:20" ht="18">
      <c r="A371" s="2">
        <f t="shared" si="101"/>
        <v>370</v>
      </c>
      <c r="B371" s="7" t="s">
        <v>915</v>
      </c>
      <c r="I371" s="15" t="s">
        <v>391</v>
      </c>
      <c r="J371" s="15">
        <v>369</v>
      </c>
      <c r="K371" s="4">
        <v>0.147947</v>
      </c>
      <c r="L371" s="4">
        <v>-0.414302</v>
      </c>
      <c r="M371" s="4">
        <v>-1.206048</v>
      </c>
      <c r="N371" s="4">
        <v>0.414439</v>
      </c>
      <c r="O371" s="4">
        <v>-1.5456989999999999</v>
      </c>
      <c r="P371" s="4">
        <v>-0.53290199999999999</v>
      </c>
      <c r="Q371" s="4">
        <v>-1.2757750000000001</v>
      </c>
      <c r="R371" s="4">
        <v>0.108928</v>
      </c>
      <c r="S371" s="4">
        <v>0.43624099999999999</v>
      </c>
      <c r="T371" s="4">
        <v>-0.84862800000000005</v>
      </c>
    </row>
    <row r="372" spans="1:20" ht="18">
      <c r="A372" s="2">
        <f t="shared" si="101"/>
        <v>371</v>
      </c>
      <c r="B372" s="7" t="s">
        <v>916</v>
      </c>
      <c r="I372" s="15" t="s">
        <v>392</v>
      </c>
      <c r="J372" s="15">
        <v>370</v>
      </c>
      <c r="K372" s="4">
        <v>1.8603959999999999</v>
      </c>
      <c r="L372" s="4">
        <v>0.70272100000000004</v>
      </c>
      <c r="M372" s="4">
        <v>-1.165591</v>
      </c>
      <c r="N372" s="4">
        <v>0.20307800000000001</v>
      </c>
      <c r="O372" s="4">
        <v>-1.118247</v>
      </c>
      <c r="P372" s="4">
        <v>-0.69934799999999997</v>
      </c>
      <c r="Q372" s="4">
        <v>3.6276000000000003E-2</v>
      </c>
      <c r="R372" s="4">
        <v>1.001946</v>
      </c>
      <c r="S372" s="4">
        <v>1.1464529999999999</v>
      </c>
      <c r="T372" s="4">
        <v>1.221557</v>
      </c>
    </row>
    <row r="373" spans="1:20" ht="18">
      <c r="A373" s="2">
        <f t="shared" si="101"/>
        <v>372</v>
      </c>
      <c r="B373" s="7" t="s">
        <v>917</v>
      </c>
      <c r="I373" s="15" t="s">
        <v>393</v>
      </c>
      <c r="J373" s="15">
        <v>371</v>
      </c>
      <c r="K373" s="4">
        <v>1.490998</v>
      </c>
      <c r="L373" s="4">
        <v>-6.6056000000000004E-2</v>
      </c>
      <c r="M373" s="4">
        <v>0.79872100000000001</v>
      </c>
      <c r="N373" s="4">
        <v>0.198242</v>
      </c>
      <c r="O373" s="4">
        <v>0.58463100000000001</v>
      </c>
      <c r="P373" s="4">
        <v>-1.0100789999999999</v>
      </c>
      <c r="Q373" s="4">
        <v>1.126044</v>
      </c>
      <c r="R373" s="4">
        <v>-1.440107</v>
      </c>
      <c r="S373" s="4">
        <v>0.30985000000000001</v>
      </c>
      <c r="T373" s="4">
        <v>-1.097008</v>
      </c>
    </row>
    <row r="374" spans="1:20" ht="18">
      <c r="A374" s="2">
        <f t="shared" si="101"/>
        <v>373</v>
      </c>
      <c r="B374" s="7" t="s">
        <v>918</v>
      </c>
      <c r="I374" s="15" t="s">
        <v>394</v>
      </c>
      <c r="J374" s="15">
        <v>372</v>
      </c>
      <c r="K374" s="4">
        <v>0.26911499999999999</v>
      </c>
      <c r="L374" s="4">
        <v>-1.0044219999999999</v>
      </c>
      <c r="M374" s="4">
        <v>-6.8448999999999996E-2</v>
      </c>
      <c r="N374" s="4">
        <v>0.74288799999999999</v>
      </c>
      <c r="O374" s="4">
        <v>0.14242099999999999</v>
      </c>
      <c r="P374" s="4">
        <v>0.137632</v>
      </c>
      <c r="Q374" s="4">
        <v>0.138153</v>
      </c>
      <c r="R374" s="4">
        <v>0.65398599999999996</v>
      </c>
      <c r="S374" s="4">
        <v>1.8834610000000001</v>
      </c>
      <c r="T374" s="4">
        <v>1.401602</v>
      </c>
    </row>
    <row r="375" spans="1:20" ht="18">
      <c r="A375" s="2">
        <f t="shared" si="101"/>
        <v>374</v>
      </c>
      <c r="B375" s="7" t="s">
        <v>919</v>
      </c>
      <c r="I375" s="15" t="s">
        <v>395</v>
      </c>
      <c r="J375" s="15">
        <v>373</v>
      </c>
      <c r="K375" s="4">
        <v>-8.4012000000000003E-2</v>
      </c>
      <c r="L375" s="4">
        <v>0.30673600000000001</v>
      </c>
      <c r="M375" s="4">
        <v>-1.5488090000000001</v>
      </c>
      <c r="N375" s="4">
        <v>4.4290000000000003E-2</v>
      </c>
      <c r="O375" s="4">
        <v>0.43511300000000003</v>
      </c>
      <c r="P375" s="4">
        <v>0.47859200000000002</v>
      </c>
      <c r="Q375" s="4">
        <v>-0.197297</v>
      </c>
      <c r="R375" s="4">
        <v>-1.0098769999999999</v>
      </c>
      <c r="S375" s="4">
        <v>-1.3315490000000001</v>
      </c>
      <c r="T375" s="4">
        <v>0.57247700000000001</v>
      </c>
    </row>
    <row r="376" spans="1:20" ht="18">
      <c r="A376" s="2">
        <f t="shared" si="101"/>
        <v>375</v>
      </c>
      <c r="B376" s="7" t="s">
        <v>920</v>
      </c>
      <c r="I376" s="15" t="s">
        <v>396</v>
      </c>
      <c r="J376" s="15">
        <v>374</v>
      </c>
      <c r="K376" s="4">
        <v>0.65215800000000002</v>
      </c>
      <c r="L376" s="4">
        <v>-0.47958000000000001</v>
      </c>
      <c r="M376" s="4">
        <v>-2.9791820000000002</v>
      </c>
      <c r="N376" s="4">
        <v>0.46270499999999998</v>
      </c>
      <c r="O376" s="4">
        <v>1.2020599999999999</v>
      </c>
      <c r="P376" s="4">
        <v>0.43412299999999998</v>
      </c>
      <c r="Q376" s="4">
        <v>-0.19327800000000001</v>
      </c>
      <c r="R376" s="4">
        <v>-6.3277E-2</v>
      </c>
      <c r="S376" s="4">
        <v>-1.2545170000000001</v>
      </c>
      <c r="T376" s="4">
        <v>-0.27866200000000002</v>
      </c>
    </row>
    <row r="377" spans="1:20" ht="18">
      <c r="A377" s="2">
        <f t="shared" si="101"/>
        <v>376</v>
      </c>
      <c r="B377" s="7" t="s">
        <v>921</v>
      </c>
      <c r="I377" s="15" t="s">
        <v>397</v>
      </c>
      <c r="J377" s="15">
        <v>375</v>
      </c>
      <c r="K377" s="4">
        <v>1.1311880000000001</v>
      </c>
      <c r="L377" s="4">
        <v>-1.5378289999999999</v>
      </c>
      <c r="M377" s="4">
        <v>-0.49063699999999999</v>
      </c>
      <c r="N377" s="4">
        <v>-2.208447</v>
      </c>
      <c r="O377" s="4">
        <v>0.87118099999999998</v>
      </c>
      <c r="P377" s="4">
        <v>-0.25473099999999999</v>
      </c>
      <c r="Q377" s="4">
        <v>0.347665</v>
      </c>
      <c r="R377" s="4">
        <v>-0.73819199999999996</v>
      </c>
      <c r="S377" s="4">
        <v>0.19936599999999999</v>
      </c>
      <c r="T377" s="4">
        <v>-0.28417700000000001</v>
      </c>
    </row>
    <row r="378" spans="1:20" ht="18">
      <c r="A378" s="2">
        <f t="shared" si="101"/>
        <v>377</v>
      </c>
      <c r="B378" s="7" t="s">
        <v>922</v>
      </c>
      <c r="I378" s="15" t="s">
        <v>398</v>
      </c>
      <c r="J378" s="15">
        <v>376</v>
      </c>
      <c r="K378" s="4">
        <v>0.376996</v>
      </c>
      <c r="L378" s="4">
        <v>1.6571750000000001</v>
      </c>
      <c r="M378" s="4">
        <v>1.0360990000000001</v>
      </c>
      <c r="N378" s="4">
        <v>-0.72875699999999999</v>
      </c>
      <c r="O378" s="4">
        <v>0.992757</v>
      </c>
      <c r="P378" s="4">
        <v>1.9251119999999999</v>
      </c>
      <c r="Q378" s="4">
        <v>-0.162214</v>
      </c>
      <c r="R378" s="4">
        <v>1.4589240000000001</v>
      </c>
      <c r="S378" s="4">
        <v>0.29671900000000001</v>
      </c>
      <c r="T378" s="4">
        <v>-1.7238150000000001</v>
      </c>
    </row>
    <row r="379" spans="1:20" ht="18">
      <c r="A379" s="2">
        <f t="shared" si="101"/>
        <v>378</v>
      </c>
      <c r="B379" s="7" t="s">
        <v>923</v>
      </c>
      <c r="I379" s="15" t="s">
        <v>399</v>
      </c>
      <c r="J379" s="15">
        <v>377</v>
      </c>
      <c r="K379" s="4">
        <v>-0.13892499999999999</v>
      </c>
      <c r="L379" s="4">
        <v>-1.2701659999999999</v>
      </c>
      <c r="M379" s="4">
        <v>1.536054</v>
      </c>
      <c r="N379" s="4">
        <v>-2.3847360000000002</v>
      </c>
      <c r="O379" s="4">
        <v>1.429851</v>
      </c>
      <c r="P379" s="4">
        <v>0.30485000000000001</v>
      </c>
      <c r="Q379" s="4">
        <v>-7.6853000000000005E-2</v>
      </c>
      <c r="R379" s="4">
        <v>-0.15551000000000001</v>
      </c>
      <c r="S379" s="4">
        <v>-0.496919</v>
      </c>
      <c r="T379" s="4">
        <v>1.2757719999999999</v>
      </c>
    </row>
    <row r="380" spans="1:20" ht="18">
      <c r="A380" s="2">
        <f t="shared" si="101"/>
        <v>379</v>
      </c>
      <c r="B380" s="7" t="s">
        <v>924</v>
      </c>
      <c r="I380" s="15" t="s">
        <v>400</v>
      </c>
      <c r="J380" s="15">
        <v>378</v>
      </c>
      <c r="K380" s="4">
        <v>-0.65970200000000001</v>
      </c>
      <c r="L380" s="4">
        <v>-9.9353999999999998E-2</v>
      </c>
      <c r="M380" s="4">
        <v>0.67733399999999999</v>
      </c>
      <c r="N380" s="4">
        <v>-1.005093</v>
      </c>
      <c r="O380" s="4">
        <v>0.34176000000000001</v>
      </c>
      <c r="P380" s="4">
        <v>1.9841999999999999E-2</v>
      </c>
      <c r="Q380" s="4">
        <v>2.3390999999999999E-2</v>
      </c>
      <c r="R380" s="4">
        <v>-0.76259999999999994</v>
      </c>
      <c r="S380" s="4">
        <v>0.782084</v>
      </c>
      <c r="T380" s="4">
        <v>-1.662614</v>
      </c>
    </row>
    <row r="381" spans="1:20" ht="18">
      <c r="A381" s="2">
        <f t="shared" si="101"/>
        <v>380</v>
      </c>
      <c r="B381" s="7" t="s">
        <v>925</v>
      </c>
      <c r="I381" s="15" t="s">
        <v>401</v>
      </c>
      <c r="J381" s="15">
        <v>379</v>
      </c>
      <c r="K381" s="4">
        <v>-1.799056</v>
      </c>
      <c r="L381" s="4">
        <v>-1.774167</v>
      </c>
      <c r="M381" s="4">
        <v>1.3272010000000001</v>
      </c>
      <c r="N381" s="4">
        <v>-1.768626</v>
      </c>
      <c r="O381" s="4">
        <v>-0.87906899999999999</v>
      </c>
      <c r="P381" s="4">
        <v>-0.88370899999999997</v>
      </c>
      <c r="Q381" s="4">
        <v>0.48466599999999999</v>
      </c>
      <c r="R381" s="4">
        <v>-1.444591</v>
      </c>
      <c r="S381" s="4">
        <v>-0.84765299999999999</v>
      </c>
      <c r="T381" s="4">
        <v>-0.97199999999999998</v>
      </c>
    </row>
    <row r="382" spans="1:20" ht="18">
      <c r="A382" s="2">
        <f t="shared" si="101"/>
        <v>381</v>
      </c>
      <c r="B382" s="7" t="s">
        <v>926</v>
      </c>
      <c r="I382" s="15" t="s">
        <v>402</v>
      </c>
      <c r="J382" s="15">
        <v>380</v>
      </c>
      <c r="K382" s="4">
        <v>0.182028</v>
      </c>
      <c r="L382" s="4">
        <v>-0.79939400000000005</v>
      </c>
      <c r="M382" s="4">
        <v>-1.171978</v>
      </c>
      <c r="N382" s="4">
        <v>-0.189383</v>
      </c>
      <c r="O382" s="4">
        <v>-0.46892499999999998</v>
      </c>
      <c r="P382" s="4">
        <v>-4.0014000000000001E-2</v>
      </c>
      <c r="Q382" s="4">
        <v>0.103875</v>
      </c>
      <c r="R382" s="4">
        <v>1.2907789999999999</v>
      </c>
      <c r="S382" s="4">
        <v>-0.31094699999999997</v>
      </c>
      <c r="T382" s="4">
        <v>1.211991</v>
      </c>
    </row>
    <row r="383" spans="1:20" ht="18">
      <c r="A383" s="2">
        <f t="shared" si="101"/>
        <v>382</v>
      </c>
      <c r="B383" s="7" t="s">
        <v>927</v>
      </c>
      <c r="I383" s="15" t="s">
        <v>403</v>
      </c>
      <c r="J383" s="15">
        <v>381</v>
      </c>
      <c r="K383" s="4">
        <v>-0.19955800000000001</v>
      </c>
      <c r="L383" s="4">
        <v>-3.6341999999999999E-2</v>
      </c>
      <c r="M383" s="4">
        <v>-0.59249499999999999</v>
      </c>
      <c r="N383" s="4">
        <v>0.69579599999999997</v>
      </c>
      <c r="O383" s="4">
        <v>-1.161198</v>
      </c>
      <c r="P383" s="4">
        <v>-1.709579</v>
      </c>
      <c r="Q383" s="4">
        <v>-6.2272000000000001E-2</v>
      </c>
      <c r="R383" s="4">
        <v>1.123888</v>
      </c>
      <c r="S383" s="4">
        <v>-1.5415E-2</v>
      </c>
      <c r="T383" s="4">
        <v>1.1312949999999999</v>
      </c>
    </row>
    <row r="384" spans="1:20" ht="18">
      <c r="A384" s="2">
        <f t="shared" si="101"/>
        <v>383</v>
      </c>
      <c r="B384" s="7" t="s">
        <v>928</v>
      </c>
      <c r="I384" s="15" t="s">
        <v>404</v>
      </c>
      <c r="J384" s="15">
        <v>382</v>
      </c>
      <c r="K384" s="4">
        <v>0.58781600000000001</v>
      </c>
      <c r="L384" s="4">
        <v>0.66405700000000001</v>
      </c>
      <c r="M384" s="4">
        <v>-1.223344</v>
      </c>
      <c r="N384" s="4">
        <v>2.2738999999999999E-2</v>
      </c>
      <c r="O384" s="4">
        <v>0.64226000000000005</v>
      </c>
      <c r="P384" s="4">
        <v>0.31333499999999997</v>
      </c>
      <c r="Q384" s="4">
        <v>5.6610000000000001E-2</v>
      </c>
      <c r="R384" s="4">
        <v>0.75728600000000001</v>
      </c>
      <c r="S384" s="4">
        <v>0.31664199999999998</v>
      </c>
      <c r="T384" s="4">
        <v>-0.79659000000000002</v>
      </c>
    </row>
    <row r="385" spans="1:20" ht="18">
      <c r="A385" s="2">
        <f t="shared" si="101"/>
        <v>384</v>
      </c>
      <c r="B385" s="7" t="s">
        <v>929</v>
      </c>
      <c r="I385" s="15" t="s">
        <v>405</v>
      </c>
      <c r="J385" s="15">
        <v>383</v>
      </c>
      <c r="K385" s="4">
        <v>-0.75763100000000005</v>
      </c>
      <c r="L385" s="4">
        <v>1.9919960000000001</v>
      </c>
      <c r="M385" s="4">
        <v>-0.37692300000000001</v>
      </c>
      <c r="N385" s="4">
        <v>0.15235199999999999</v>
      </c>
      <c r="O385" s="4">
        <v>-1.0772360000000001</v>
      </c>
      <c r="P385" s="4">
        <v>-1.105653</v>
      </c>
      <c r="Q385" s="4">
        <v>-0.57510600000000001</v>
      </c>
      <c r="R385" s="4">
        <v>-1.278729</v>
      </c>
      <c r="S385" s="4">
        <v>0.457231</v>
      </c>
      <c r="T385" s="4">
        <v>-0.35821700000000001</v>
      </c>
    </row>
    <row r="386" spans="1:20" ht="18">
      <c r="A386" s="2">
        <f t="shared" si="101"/>
        <v>385</v>
      </c>
      <c r="B386" s="7" t="s">
        <v>930</v>
      </c>
      <c r="I386" s="15" t="s">
        <v>406</v>
      </c>
      <c r="J386" s="15">
        <v>384</v>
      </c>
      <c r="K386" s="4">
        <v>-0.87715900000000002</v>
      </c>
      <c r="L386" s="4">
        <v>-1.8500799999999999</v>
      </c>
      <c r="M386" s="4">
        <v>0.39513799999999999</v>
      </c>
      <c r="N386" s="4">
        <v>-0.54268400000000006</v>
      </c>
      <c r="O386" s="4">
        <v>0.140291</v>
      </c>
      <c r="P386" s="4">
        <v>-5.1727000000000002E-2</v>
      </c>
      <c r="Q386" s="4">
        <v>-0.11758399999999999</v>
      </c>
      <c r="R386" s="4">
        <v>9.2726000000000003E-2</v>
      </c>
      <c r="S386" s="4">
        <v>0.74021199999999998</v>
      </c>
      <c r="T386" s="4">
        <v>0.120727</v>
      </c>
    </row>
    <row r="387" spans="1:20" ht="18">
      <c r="A387" s="2">
        <f t="shared" ref="A387:A450" si="102">ROW()-1</f>
        <v>386</v>
      </c>
      <c r="B387" s="7" t="s">
        <v>931</v>
      </c>
      <c r="I387" s="15" t="s">
        <v>407</v>
      </c>
      <c r="J387" s="15">
        <v>385</v>
      </c>
      <c r="K387" s="4">
        <v>2.2613799999999999</v>
      </c>
      <c r="L387" s="4">
        <v>-1.0797669999999999</v>
      </c>
      <c r="M387" s="4">
        <v>-0.219249</v>
      </c>
      <c r="N387" s="4">
        <v>0.138761</v>
      </c>
      <c r="O387" s="4">
        <v>2.7162989999999998</v>
      </c>
      <c r="P387" s="4">
        <v>0.47906399999999999</v>
      </c>
      <c r="Q387" s="4">
        <v>0.97665299999999999</v>
      </c>
      <c r="R387" s="4">
        <v>1.6175200000000001</v>
      </c>
      <c r="S387" s="4">
        <v>-0.76652600000000004</v>
      </c>
      <c r="T387" s="4">
        <v>0.88212699999999999</v>
      </c>
    </row>
    <row r="388" spans="1:20" ht="18">
      <c r="A388" s="2">
        <f t="shared" si="102"/>
        <v>387</v>
      </c>
      <c r="B388" s="7" t="s">
        <v>932</v>
      </c>
      <c r="I388" s="15" t="s">
        <v>408</v>
      </c>
      <c r="J388" s="15">
        <v>386</v>
      </c>
      <c r="K388" s="4">
        <v>0.21031</v>
      </c>
      <c r="L388" s="4">
        <v>2.7042839999999999</v>
      </c>
      <c r="M388" s="4">
        <v>1.685592</v>
      </c>
      <c r="N388" s="4">
        <v>-0.30607200000000001</v>
      </c>
      <c r="O388" s="4">
        <v>0.76093699999999997</v>
      </c>
      <c r="P388" s="4">
        <v>1.6775580000000001</v>
      </c>
      <c r="Q388" s="4">
        <v>1.228261</v>
      </c>
      <c r="R388" s="4">
        <v>0.73441299999999998</v>
      </c>
      <c r="S388" s="4">
        <v>-0.45941199999999999</v>
      </c>
      <c r="T388" s="4">
        <v>0.74609700000000001</v>
      </c>
    </row>
    <row r="389" spans="1:20" ht="18">
      <c r="A389" s="2">
        <f t="shared" si="102"/>
        <v>388</v>
      </c>
      <c r="B389" s="7" t="s">
        <v>933</v>
      </c>
      <c r="I389" s="15" t="s">
        <v>409</v>
      </c>
      <c r="J389" s="15">
        <v>387</v>
      </c>
      <c r="K389" s="4">
        <v>1.902987</v>
      </c>
      <c r="L389" s="4">
        <v>0.89118299999999995</v>
      </c>
      <c r="M389" s="4">
        <v>-0.25648799999999999</v>
      </c>
      <c r="N389" s="4">
        <v>2.46143</v>
      </c>
      <c r="O389" s="4">
        <v>-1.7980750000000001</v>
      </c>
      <c r="P389" s="4">
        <v>-0.48394300000000001</v>
      </c>
      <c r="Q389" s="4">
        <v>7.0568000000000006E-2</v>
      </c>
      <c r="R389" s="4">
        <v>0.24982599999999999</v>
      </c>
      <c r="S389" s="4">
        <v>0.17228499999999999</v>
      </c>
      <c r="T389" s="4">
        <v>1.940798</v>
      </c>
    </row>
    <row r="390" spans="1:20" ht="18">
      <c r="A390" s="2">
        <f t="shared" si="102"/>
        <v>389</v>
      </c>
      <c r="B390" s="7" t="s">
        <v>934</v>
      </c>
      <c r="I390" s="15" t="s">
        <v>410</v>
      </c>
      <c r="J390" s="15">
        <v>388</v>
      </c>
      <c r="K390" s="4">
        <v>1.062049</v>
      </c>
      <c r="L390" s="4">
        <v>-0.62409499999999996</v>
      </c>
      <c r="M390" s="4">
        <v>1.7439E-2</v>
      </c>
      <c r="N390" s="4">
        <v>-2.1218999999999998E-2</v>
      </c>
      <c r="O390" s="4">
        <v>-0.282725</v>
      </c>
      <c r="P390" s="4">
        <v>0.92198899999999995</v>
      </c>
      <c r="Q390" s="4">
        <v>0.77353300000000003</v>
      </c>
      <c r="R390" s="4">
        <v>1.0666869999999999</v>
      </c>
      <c r="S390" s="4">
        <v>0.82151399999999997</v>
      </c>
      <c r="T390" s="4">
        <v>2.4185999999999999E-2</v>
      </c>
    </row>
    <row r="391" spans="1:20" ht="18">
      <c r="A391" s="2">
        <f t="shared" si="102"/>
        <v>390</v>
      </c>
      <c r="B391" s="7" t="s">
        <v>935</v>
      </c>
      <c r="I391" s="15" t="s">
        <v>411</v>
      </c>
      <c r="J391" s="15">
        <v>389</v>
      </c>
      <c r="K391" s="4">
        <v>1.0346139999999999</v>
      </c>
      <c r="L391" s="4">
        <v>-1.835245</v>
      </c>
      <c r="M391" s="4">
        <v>-0.97030000000000005</v>
      </c>
      <c r="N391" s="4">
        <v>0.998892</v>
      </c>
      <c r="O391" s="4">
        <v>1.614134</v>
      </c>
      <c r="P391" s="4">
        <v>1.365791</v>
      </c>
      <c r="Q391" s="4">
        <v>0.80137700000000001</v>
      </c>
      <c r="R391" s="4">
        <v>0.80689200000000005</v>
      </c>
      <c r="S391" s="4">
        <v>0.30329</v>
      </c>
      <c r="T391" s="4">
        <v>-2.2296819999999999</v>
      </c>
    </row>
    <row r="392" spans="1:20" ht="18">
      <c r="A392" s="2">
        <f t="shared" si="102"/>
        <v>391</v>
      </c>
      <c r="B392" s="7" t="s">
        <v>936</v>
      </c>
      <c r="I392" s="15" t="s">
        <v>412</v>
      </c>
      <c r="J392" s="15">
        <v>390</v>
      </c>
      <c r="K392" s="4">
        <v>1.2895700000000001</v>
      </c>
      <c r="L392" s="4">
        <v>0.27371499999999999</v>
      </c>
      <c r="M392" s="4">
        <v>0.89926799999999996</v>
      </c>
      <c r="N392" s="4">
        <v>1.804378</v>
      </c>
      <c r="O392" s="4">
        <v>-0.91453099999999998</v>
      </c>
      <c r="P392" s="4">
        <v>1.7766010000000001</v>
      </c>
      <c r="Q392" s="4">
        <v>0.66700999999999999</v>
      </c>
      <c r="R392" s="4">
        <v>1.454331</v>
      </c>
      <c r="S392" s="4">
        <v>-1.579806</v>
      </c>
      <c r="T392" s="4">
        <v>-1.451171</v>
      </c>
    </row>
    <row r="393" spans="1:20" ht="18">
      <c r="A393" s="2">
        <f t="shared" si="102"/>
        <v>392</v>
      </c>
      <c r="B393" s="7" t="s">
        <v>937</v>
      </c>
      <c r="I393" s="15" t="s">
        <v>413</v>
      </c>
      <c r="J393" s="15">
        <v>391</v>
      </c>
      <c r="K393" s="4">
        <v>1.9897210000000001</v>
      </c>
      <c r="L393" s="4">
        <v>-1.483878</v>
      </c>
      <c r="M393" s="4">
        <v>0.14707999999999999</v>
      </c>
      <c r="N393" s="4">
        <v>-0.71796400000000005</v>
      </c>
      <c r="O393" s="4">
        <v>-0.41926600000000003</v>
      </c>
      <c r="P393" s="4">
        <v>-0.26024599999999998</v>
      </c>
      <c r="Q393" s="4">
        <v>-0.25818799999999997</v>
      </c>
      <c r="R393" s="4">
        <v>-1.8623460000000001</v>
      </c>
      <c r="S393" s="4">
        <v>-1.351054</v>
      </c>
      <c r="T393" s="4">
        <v>0.68659199999999998</v>
      </c>
    </row>
    <row r="394" spans="1:20" ht="18">
      <c r="A394" s="2">
        <f t="shared" si="102"/>
        <v>393</v>
      </c>
      <c r="B394" s="7" t="s">
        <v>938</v>
      </c>
      <c r="I394" s="15" t="s">
        <v>414</v>
      </c>
      <c r="J394" s="15">
        <v>392</v>
      </c>
      <c r="K394" s="4">
        <v>-6.9702E-2</v>
      </c>
      <c r="L394" s="4">
        <v>1.0033E-2</v>
      </c>
      <c r="M394" s="4">
        <v>0.81953900000000002</v>
      </c>
      <c r="N394" s="4">
        <v>0.26981300000000003</v>
      </c>
      <c r="O394" s="4">
        <v>-5.1826999999999998E-2</v>
      </c>
      <c r="P394" s="4">
        <v>0.64613799999999999</v>
      </c>
      <c r="Q394" s="4">
        <v>2.644841</v>
      </c>
      <c r="R394" s="4">
        <v>-0.24788099999999999</v>
      </c>
      <c r="S394" s="4">
        <v>-0.55066300000000001</v>
      </c>
      <c r="T394" s="4">
        <v>1.2500020000000001</v>
      </c>
    </row>
    <row r="395" spans="1:20" ht="18">
      <c r="A395" s="2">
        <f t="shared" si="102"/>
        <v>394</v>
      </c>
      <c r="B395" s="7" t="s">
        <v>939</v>
      </c>
      <c r="I395" s="15" t="s">
        <v>415</v>
      </c>
      <c r="J395" s="15">
        <v>393</v>
      </c>
      <c r="K395" s="4">
        <v>0.21273</v>
      </c>
      <c r="L395" s="4">
        <v>0.60730399999999995</v>
      </c>
      <c r="M395" s="4">
        <v>-0.25298300000000001</v>
      </c>
      <c r="N395" s="4">
        <v>-0.97697500000000004</v>
      </c>
      <c r="O395" s="4">
        <v>2.417017</v>
      </c>
      <c r="P395" s="4">
        <v>1.5169E-2</v>
      </c>
      <c r="Q395" s="4">
        <v>-0.34453099999999998</v>
      </c>
      <c r="R395" s="4">
        <v>-0.83993799999999996</v>
      </c>
      <c r="S395" s="4">
        <v>1.680771</v>
      </c>
      <c r="T395" s="4">
        <v>-1.5708759999999999</v>
      </c>
    </row>
    <row r="396" spans="1:20" ht="18">
      <c r="A396" s="2">
        <f t="shared" si="102"/>
        <v>395</v>
      </c>
      <c r="B396" s="7" t="s">
        <v>940</v>
      </c>
      <c r="I396" s="15" t="s">
        <v>416</v>
      </c>
      <c r="J396" s="15">
        <v>394</v>
      </c>
      <c r="K396" s="4">
        <v>1.63676</v>
      </c>
      <c r="L396" s="4">
        <v>-0.72205699999999995</v>
      </c>
      <c r="M396" s="4">
        <v>-0.92906299999999997</v>
      </c>
      <c r="N396" s="4">
        <v>1.0485690000000001</v>
      </c>
      <c r="O396" s="4">
        <v>0.94676000000000005</v>
      </c>
      <c r="P396" s="4">
        <v>1.1124940000000001</v>
      </c>
      <c r="Q396" s="4">
        <v>0.41412199999999999</v>
      </c>
      <c r="R396" s="4">
        <v>0.24263299999999999</v>
      </c>
      <c r="S396" s="4">
        <v>-0.19842399999999999</v>
      </c>
      <c r="T396" s="4">
        <v>-0.28444000000000003</v>
      </c>
    </row>
    <row r="397" spans="1:20" ht="18">
      <c r="A397" s="2">
        <f t="shared" si="102"/>
        <v>396</v>
      </c>
      <c r="B397" s="7" t="s">
        <v>941</v>
      </c>
      <c r="I397" s="15" t="s">
        <v>417</v>
      </c>
      <c r="J397" s="15">
        <v>395</v>
      </c>
      <c r="K397" s="4">
        <v>1.1200889999999999</v>
      </c>
      <c r="L397" s="4">
        <v>-0.35775299999999999</v>
      </c>
      <c r="M397" s="4">
        <v>0.33867000000000003</v>
      </c>
      <c r="N397" s="4">
        <v>0.87460599999999999</v>
      </c>
      <c r="O397" s="4">
        <v>-0.12384199999999999</v>
      </c>
      <c r="P397" s="4">
        <v>0.117657</v>
      </c>
      <c r="Q397" s="4">
        <v>1.2540610000000001</v>
      </c>
      <c r="R397" s="4">
        <v>1.0693809999999999</v>
      </c>
      <c r="S397" s="4">
        <v>-1.181821</v>
      </c>
      <c r="T397" s="4">
        <v>-0.95804900000000004</v>
      </c>
    </row>
    <row r="398" spans="1:20" ht="18">
      <c r="A398" s="2">
        <f t="shared" si="102"/>
        <v>397</v>
      </c>
      <c r="B398" s="7" t="s">
        <v>942</v>
      </c>
      <c r="I398" s="15" t="s">
        <v>418</v>
      </c>
      <c r="J398" s="15">
        <v>396</v>
      </c>
      <c r="K398" s="4">
        <v>0.21774499999999999</v>
      </c>
      <c r="L398" s="4">
        <v>1.814975</v>
      </c>
      <c r="M398" s="4">
        <v>0.52442599999999995</v>
      </c>
      <c r="N398" s="4">
        <v>-0.15890000000000001</v>
      </c>
      <c r="O398" s="4">
        <v>0.100496</v>
      </c>
      <c r="P398" s="4">
        <v>-6.9726999999999997E-2</v>
      </c>
      <c r="Q398" s="4">
        <v>-1.0888819999999999</v>
      </c>
      <c r="R398" s="4">
        <v>1.0064470000000001</v>
      </c>
      <c r="S398" s="4">
        <v>0.84164899999999998</v>
      </c>
      <c r="T398" s="4">
        <v>-0.481875</v>
      </c>
    </row>
    <row r="399" spans="1:20" ht="18">
      <c r="A399" s="2">
        <f t="shared" si="102"/>
        <v>398</v>
      </c>
      <c r="B399" s="7" t="s">
        <v>943</v>
      </c>
      <c r="I399" s="15" t="s">
        <v>419</v>
      </c>
      <c r="J399" s="15">
        <v>397</v>
      </c>
      <c r="K399" s="4">
        <v>0.59317399999999998</v>
      </c>
      <c r="L399" s="4">
        <v>-1.548727</v>
      </c>
      <c r="M399" s="4">
        <v>0.91697700000000004</v>
      </c>
      <c r="N399" s="4">
        <v>-1.278429</v>
      </c>
      <c r="O399" s="4">
        <v>-0.58346900000000002</v>
      </c>
      <c r="P399" s="4">
        <v>-1.9285410000000001</v>
      </c>
      <c r="Q399" s="4">
        <v>-2.7795E-2</v>
      </c>
      <c r="R399" s="4">
        <v>0.29799100000000001</v>
      </c>
      <c r="S399" s="4">
        <v>0.79916600000000004</v>
      </c>
      <c r="T399" s="4">
        <v>0.52054999999999996</v>
      </c>
    </row>
    <row r="400" spans="1:20" ht="18">
      <c r="A400" s="2">
        <f t="shared" si="102"/>
        <v>399</v>
      </c>
      <c r="B400" s="7" t="s">
        <v>944</v>
      </c>
      <c r="I400" s="15" t="s">
        <v>420</v>
      </c>
      <c r="J400" s="15">
        <v>398</v>
      </c>
      <c r="K400" s="4">
        <v>-1.2018409999999999</v>
      </c>
      <c r="L400" s="4">
        <v>1.5046299999999999</v>
      </c>
      <c r="M400" s="4">
        <v>0.63405800000000001</v>
      </c>
      <c r="N400" s="4">
        <v>-0.87455700000000003</v>
      </c>
      <c r="O400" s="4">
        <v>-0.88256199999999996</v>
      </c>
      <c r="P400" s="4">
        <v>-3.6116000000000002E-2</v>
      </c>
      <c r="Q400" s="4">
        <v>-0.322046</v>
      </c>
      <c r="R400" s="4">
        <v>-0.28539199999999998</v>
      </c>
      <c r="S400" s="4">
        <v>-0.78991</v>
      </c>
      <c r="T400" s="4">
        <v>-4.4311000000000003E-2</v>
      </c>
    </row>
    <row r="401" spans="1:20" ht="18">
      <c r="A401" s="2">
        <f t="shared" si="102"/>
        <v>400</v>
      </c>
      <c r="B401" s="7" t="s">
        <v>945</v>
      </c>
      <c r="I401" s="15" t="s">
        <v>421</v>
      </c>
      <c r="J401" s="15">
        <v>399</v>
      </c>
      <c r="K401" s="4">
        <v>0.73670000000000002</v>
      </c>
      <c r="L401" s="4">
        <v>-1.193622</v>
      </c>
      <c r="M401" s="4">
        <v>2.219166</v>
      </c>
      <c r="N401" s="4">
        <v>-0.79208000000000001</v>
      </c>
      <c r="O401" s="4">
        <v>-0.75058999999999998</v>
      </c>
      <c r="P401" s="4">
        <v>-1.553256</v>
      </c>
      <c r="Q401" s="4">
        <v>1.8261050000000001</v>
      </c>
      <c r="R401" s="4">
        <v>-0.35557899999999998</v>
      </c>
      <c r="S401" s="4">
        <v>2.0288469999999998</v>
      </c>
      <c r="T401" s="4">
        <v>-8.8650000000000007E-2</v>
      </c>
    </row>
    <row r="402" spans="1:20" ht="18">
      <c r="A402" s="2">
        <f t="shared" si="102"/>
        <v>401</v>
      </c>
      <c r="B402" s="7" t="s">
        <v>946</v>
      </c>
      <c r="I402" s="15" t="s">
        <v>422</v>
      </c>
      <c r="J402" s="15">
        <v>400</v>
      </c>
      <c r="K402" s="4">
        <v>0.97994599999999998</v>
      </c>
      <c r="L402" s="4">
        <v>0.65375899999999998</v>
      </c>
      <c r="M402" s="4">
        <v>-0.83491300000000002</v>
      </c>
      <c r="N402" s="4">
        <v>0.371141</v>
      </c>
      <c r="O402" s="4">
        <v>-1.696051</v>
      </c>
      <c r="P402" s="4">
        <v>-0.93043900000000002</v>
      </c>
      <c r="Q402" s="4">
        <v>1.1043149999999999</v>
      </c>
      <c r="R402" s="4">
        <v>-1.2057640000000001</v>
      </c>
      <c r="S402" s="4">
        <v>-1.23349</v>
      </c>
      <c r="T402" s="4">
        <v>-0.97311599999999998</v>
      </c>
    </row>
    <row r="403" spans="1:20" ht="18">
      <c r="A403" s="2">
        <f t="shared" si="102"/>
        <v>402</v>
      </c>
      <c r="B403" s="7" t="s">
        <v>947</v>
      </c>
      <c r="I403" s="15" t="s">
        <v>423</v>
      </c>
      <c r="J403" s="15">
        <v>401</v>
      </c>
      <c r="K403" s="4">
        <v>-0.46976800000000002</v>
      </c>
      <c r="L403" s="4">
        <v>-0.63620699999999997</v>
      </c>
      <c r="M403" s="4">
        <v>1.6523350000000001</v>
      </c>
      <c r="N403" s="4">
        <v>2.6378759999999999</v>
      </c>
      <c r="O403" s="4">
        <v>0.58927799999999997</v>
      </c>
      <c r="P403" s="4">
        <v>0.202206</v>
      </c>
      <c r="Q403" s="4">
        <v>-1.1086609999999999</v>
      </c>
      <c r="R403" s="4">
        <v>2.3162210000000001</v>
      </c>
      <c r="S403" s="4">
        <v>-1.188928</v>
      </c>
      <c r="T403" s="4">
        <v>1.6444220000000001</v>
      </c>
    </row>
    <row r="404" spans="1:20" ht="18">
      <c r="A404" s="2">
        <f t="shared" si="102"/>
        <v>403</v>
      </c>
      <c r="B404" s="7" t="s">
        <v>948</v>
      </c>
      <c r="I404" s="15" t="s">
        <v>424</v>
      </c>
      <c r="J404" s="15">
        <v>402</v>
      </c>
      <c r="K404" s="4">
        <v>7.9909999999999998E-3</v>
      </c>
      <c r="L404" s="4">
        <v>-2.4346839999999998</v>
      </c>
      <c r="M404" s="4">
        <v>2.22295</v>
      </c>
      <c r="N404" s="4">
        <v>1.6338349999999999</v>
      </c>
      <c r="O404" s="4">
        <v>9.8183999999999994E-2</v>
      </c>
      <c r="P404" s="4">
        <v>0.11727899999999999</v>
      </c>
      <c r="Q404" s="4">
        <v>0.53167299999999995</v>
      </c>
      <c r="R404" s="4">
        <v>-0.35393599999999997</v>
      </c>
      <c r="S404" s="4">
        <v>-0.75136999999999998</v>
      </c>
      <c r="T404" s="4">
        <v>2.0313979999999998</v>
      </c>
    </row>
    <row r="405" spans="1:20" ht="18">
      <c r="A405" s="2">
        <f t="shared" si="102"/>
        <v>404</v>
      </c>
      <c r="B405" s="7" t="s">
        <v>949</v>
      </c>
      <c r="I405" s="15" t="s">
        <v>425</v>
      </c>
      <c r="J405" s="15">
        <v>403</v>
      </c>
      <c r="K405" s="4">
        <v>-1.577982</v>
      </c>
      <c r="L405" s="4">
        <v>-1.1086450000000001</v>
      </c>
      <c r="M405" s="4">
        <v>0.27887099999999998</v>
      </c>
      <c r="N405" s="4">
        <v>-1.3025139999999999</v>
      </c>
      <c r="O405" s="4">
        <v>-0.35961500000000002</v>
      </c>
      <c r="P405" s="4">
        <v>-1.967787</v>
      </c>
      <c r="Q405" s="4">
        <v>0.21487800000000001</v>
      </c>
      <c r="R405" s="4">
        <v>0.97796799999999995</v>
      </c>
      <c r="S405" s="4">
        <v>-0.123419</v>
      </c>
      <c r="T405" s="4">
        <v>-1.3547830000000001</v>
      </c>
    </row>
    <row r="406" spans="1:20" ht="18">
      <c r="A406" s="2">
        <f t="shared" si="102"/>
        <v>405</v>
      </c>
      <c r="B406" s="7" t="s">
        <v>950</v>
      </c>
      <c r="I406" s="15" t="s">
        <v>426</v>
      </c>
      <c r="J406" s="15">
        <v>404</v>
      </c>
      <c r="K406" s="4">
        <v>-0.430894</v>
      </c>
      <c r="L406" s="4">
        <v>-1.2179519999999999</v>
      </c>
      <c r="M406" s="4">
        <v>1.1165309999999999</v>
      </c>
      <c r="N406" s="4">
        <v>-0.335733</v>
      </c>
      <c r="O406" s="4">
        <v>1.2342869999999999</v>
      </c>
      <c r="P406" s="4">
        <v>0.20161100000000001</v>
      </c>
      <c r="Q406" s="4">
        <v>-0.82962100000000005</v>
      </c>
      <c r="R406" s="4">
        <v>0.34267399999999998</v>
      </c>
      <c r="S406" s="4">
        <v>0.19456100000000001</v>
      </c>
      <c r="T406" s="4">
        <v>-0.75208200000000003</v>
      </c>
    </row>
    <row r="407" spans="1:20" ht="18">
      <c r="A407" s="2">
        <f t="shared" si="102"/>
        <v>406</v>
      </c>
      <c r="B407" s="7" t="s">
        <v>951</v>
      </c>
      <c r="I407" s="15" t="s">
        <v>427</v>
      </c>
      <c r="J407" s="15">
        <v>405</v>
      </c>
      <c r="K407" s="4">
        <v>-0.23644899999999999</v>
      </c>
      <c r="L407" s="4">
        <v>-1.4836130000000001</v>
      </c>
      <c r="M407" s="4">
        <v>-0.59695699999999996</v>
      </c>
      <c r="N407" s="4">
        <v>-0.29535600000000001</v>
      </c>
      <c r="O407" s="4">
        <v>-0.20668900000000001</v>
      </c>
      <c r="P407" s="4">
        <v>1.31334</v>
      </c>
      <c r="Q407" s="4">
        <v>1.6178589999999999</v>
      </c>
      <c r="R407" s="4">
        <v>-1.0156540000000001</v>
      </c>
      <c r="S407" s="4">
        <v>5.0757999999999998E-2</v>
      </c>
      <c r="T407" s="4">
        <v>-0.126665</v>
      </c>
    </row>
    <row r="408" spans="1:20" ht="18">
      <c r="A408" s="2">
        <f t="shared" si="102"/>
        <v>407</v>
      </c>
      <c r="B408" s="7" t="s">
        <v>952</v>
      </c>
      <c r="I408" s="15" t="s">
        <v>428</v>
      </c>
      <c r="J408" s="15">
        <v>406</v>
      </c>
      <c r="K408" s="4">
        <v>0.64710299999999998</v>
      </c>
      <c r="L408" s="4">
        <v>-0.59925399999999995</v>
      </c>
      <c r="M408" s="4">
        <v>-0.211561</v>
      </c>
      <c r="N408" s="4">
        <v>-0.86935200000000001</v>
      </c>
      <c r="O408" s="4">
        <v>0.47177400000000003</v>
      </c>
      <c r="P408" s="4">
        <v>-0.79854199999999997</v>
      </c>
      <c r="Q408" s="4">
        <v>0.61531100000000005</v>
      </c>
      <c r="R408" s="4">
        <v>0.98801899999999998</v>
      </c>
      <c r="S408" s="4">
        <v>1.2792460000000001</v>
      </c>
      <c r="T408" s="4">
        <v>-1.746783</v>
      </c>
    </row>
    <row r="409" spans="1:20" ht="18">
      <c r="A409" s="2">
        <f t="shared" si="102"/>
        <v>408</v>
      </c>
      <c r="B409" s="7" t="s">
        <v>953</v>
      </c>
      <c r="I409" s="15" t="s">
        <v>429</v>
      </c>
      <c r="J409" s="15">
        <v>407</v>
      </c>
      <c r="K409" s="4">
        <v>0.70738000000000001</v>
      </c>
      <c r="L409" s="4">
        <v>1.641805</v>
      </c>
      <c r="M409" s="4">
        <v>-0.64257200000000003</v>
      </c>
      <c r="N409" s="4">
        <v>1.8036719999999999</v>
      </c>
      <c r="O409" s="4">
        <v>-0.202209</v>
      </c>
      <c r="P409" s="4">
        <v>1.162115</v>
      </c>
      <c r="Q409" s="4">
        <v>6.3940999999999998E-2</v>
      </c>
      <c r="R409" s="4">
        <v>0.37396699999999999</v>
      </c>
      <c r="S409" s="4">
        <v>1.3713169999999999</v>
      </c>
      <c r="T409" s="4">
        <v>8.4652000000000005E-2</v>
      </c>
    </row>
    <row r="410" spans="1:20" ht="18">
      <c r="A410" s="2">
        <f t="shared" si="102"/>
        <v>409</v>
      </c>
      <c r="B410" s="7" t="s">
        <v>954</v>
      </c>
      <c r="I410" s="15" t="s">
        <v>430</v>
      </c>
      <c r="J410" s="15">
        <v>408</v>
      </c>
      <c r="K410" s="4">
        <v>0.77238899999999999</v>
      </c>
      <c r="L410" s="4">
        <v>-1.0041640000000001</v>
      </c>
      <c r="M410" s="4">
        <v>0.30632300000000001</v>
      </c>
      <c r="N410" s="4">
        <v>-0.19833600000000001</v>
      </c>
      <c r="O410" s="4">
        <v>0.199823</v>
      </c>
      <c r="P410" s="4">
        <v>1.2741070000000001</v>
      </c>
      <c r="Q410" s="4">
        <v>0.18061199999999999</v>
      </c>
      <c r="R410" s="4">
        <v>-0.86588299999999996</v>
      </c>
      <c r="S410" s="4">
        <v>0.49470900000000001</v>
      </c>
      <c r="T410" s="4">
        <v>-0.27393200000000001</v>
      </c>
    </row>
    <row r="411" spans="1:20" ht="18">
      <c r="A411" s="2">
        <f t="shared" si="102"/>
        <v>410</v>
      </c>
      <c r="B411" s="7" t="s">
        <v>955</v>
      </c>
      <c r="I411" s="15" t="s">
        <v>431</v>
      </c>
      <c r="J411" s="15">
        <v>409</v>
      </c>
      <c r="K411" s="4">
        <v>-0.97169000000000005</v>
      </c>
      <c r="L411" s="4">
        <v>0.94868799999999998</v>
      </c>
      <c r="M411" s="4">
        <v>-3.1837430000000002</v>
      </c>
      <c r="N411" s="4">
        <v>-1.0783149999999999</v>
      </c>
      <c r="O411" s="4">
        <v>-1.9548970000000001</v>
      </c>
      <c r="P411" s="4">
        <v>-0.26534400000000002</v>
      </c>
      <c r="Q411" s="4">
        <v>-0.51350399999999996</v>
      </c>
      <c r="R411" s="4">
        <v>-2.5374560000000002</v>
      </c>
      <c r="S411" s="4">
        <v>-0.13647599999999999</v>
      </c>
      <c r="T411" s="4">
        <v>-0.40950900000000001</v>
      </c>
    </row>
    <row r="412" spans="1:20" ht="18">
      <c r="A412" s="2">
        <f t="shared" si="102"/>
        <v>411</v>
      </c>
      <c r="B412" s="7" t="s">
        <v>956</v>
      </c>
      <c r="I412" s="15" t="s">
        <v>432</v>
      </c>
      <c r="J412" s="15">
        <v>410</v>
      </c>
      <c r="K412" s="4">
        <v>-1.374393</v>
      </c>
      <c r="L412" s="4">
        <v>-0.86526800000000004</v>
      </c>
      <c r="M412" s="4">
        <v>0.60929900000000004</v>
      </c>
      <c r="N412" s="4">
        <v>-0.14277799999999999</v>
      </c>
      <c r="O412" s="4">
        <v>1.2215389999999999</v>
      </c>
      <c r="P412" s="4">
        <v>-1.821901</v>
      </c>
      <c r="Q412" s="4">
        <v>-0.56505700000000003</v>
      </c>
      <c r="R412" s="4">
        <v>-9.3560000000000004E-2</v>
      </c>
      <c r="S412" s="4">
        <v>0.79900199999999999</v>
      </c>
      <c r="T412" s="4">
        <v>-1.0541670000000001</v>
      </c>
    </row>
    <row r="413" spans="1:20" ht="18">
      <c r="A413" s="2">
        <f t="shared" si="102"/>
        <v>412</v>
      </c>
      <c r="B413" s="7" t="s">
        <v>957</v>
      </c>
      <c r="I413" s="15" t="s">
        <v>433</v>
      </c>
      <c r="J413" s="15">
        <v>411</v>
      </c>
      <c r="K413" s="4">
        <v>-0.38989400000000002</v>
      </c>
      <c r="L413" s="4">
        <v>-0.65409600000000001</v>
      </c>
      <c r="M413" s="4">
        <v>0.35564000000000001</v>
      </c>
      <c r="N413" s="4">
        <v>-0.42176999999999998</v>
      </c>
      <c r="O413" s="4">
        <v>1.143445</v>
      </c>
      <c r="P413" s="4">
        <v>-1.4027259999999999</v>
      </c>
      <c r="Q413" s="4">
        <v>1.0241260000000001</v>
      </c>
      <c r="R413" s="4">
        <v>1.0844469999999999</v>
      </c>
      <c r="S413" s="4">
        <v>0.58007399999999998</v>
      </c>
      <c r="T413" s="4">
        <v>-7.2731000000000004E-2</v>
      </c>
    </row>
    <row r="414" spans="1:20" ht="18">
      <c r="A414" s="2">
        <f t="shared" si="102"/>
        <v>413</v>
      </c>
      <c r="B414" s="7" t="s">
        <v>958</v>
      </c>
      <c r="I414" s="15" t="s">
        <v>434</v>
      </c>
      <c r="J414" s="15">
        <v>412</v>
      </c>
      <c r="K414" s="4">
        <v>0.488091</v>
      </c>
      <c r="L414" s="4">
        <v>0.95271499999999998</v>
      </c>
      <c r="M414" s="4">
        <v>-9.3258999999999995E-2</v>
      </c>
      <c r="N414" s="4">
        <v>0.26368999999999998</v>
      </c>
      <c r="O414" s="4">
        <v>0.20696200000000001</v>
      </c>
      <c r="P414" s="4">
        <v>0.95276499999999997</v>
      </c>
      <c r="Q414" s="4">
        <v>-0.60316000000000003</v>
      </c>
      <c r="R414" s="4">
        <v>-0.45094200000000001</v>
      </c>
      <c r="S414" s="4">
        <v>-0.644814</v>
      </c>
      <c r="T414" s="4">
        <v>-1.389489</v>
      </c>
    </row>
    <row r="415" spans="1:20" ht="18">
      <c r="A415" s="2">
        <f t="shared" si="102"/>
        <v>414</v>
      </c>
      <c r="B415" s="7" t="s">
        <v>959</v>
      </c>
      <c r="I415" s="15" t="s">
        <v>435</v>
      </c>
      <c r="J415" s="15">
        <v>413</v>
      </c>
      <c r="K415" s="4">
        <v>-0.55090399999999995</v>
      </c>
      <c r="L415" s="4">
        <v>-0.20056399999999999</v>
      </c>
      <c r="M415" s="4">
        <v>1.2523409999999999</v>
      </c>
      <c r="N415" s="4">
        <v>0.40498400000000001</v>
      </c>
      <c r="O415" s="4">
        <v>-0.452955</v>
      </c>
      <c r="P415" s="4">
        <v>0.41814699999999999</v>
      </c>
      <c r="Q415" s="4">
        <v>-0.98324699999999998</v>
      </c>
      <c r="R415" s="4">
        <v>1.28677</v>
      </c>
      <c r="S415" s="4">
        <v>0.65096399999999999</v>
      </c>
      <c r="T415" s="4">
        <v>-5.5535000000000001E-2</v>
      </c>
    </row>
    <row r="416" spans="1:20" ht="18">
      <c r="A416" s="2">
        <f t="shared" si="102"/>
        <v>415</v>
      </c>
      <c r="B416" s="7" t="s">
        <v>960</v>
      </c>
      <c r="I416" s="15" t="s">
        <v>436</v>
      </c>
      <c r="J416" s="15">
        <v>414</v>
      </c>
      <c r="K416" s="4">
        <v>-0.41170800000000002</v>
      </c>
      <c r="L416" s="4">
        <v>0.97509299999999999</v>
      </c>
      <c r="M416" s="4">
        <v>1.0821890000000001</v>
      </c>
      <c r="N416" s="4">
        <v>0.14808099999999999</v>
      </c>
      <c r="O416" s="4">
        <v>0.274731</v>
      </c>
      <c r="P416" s="4">
        <v>-6.0554999999999998E-2</v>
      </c>
      <c r="Q416" s="4">
        <v>-0.223357</v>
      </c>
      <c r="R416" s="4">
        <v>-0.54484100000000002</v>
      </c>
      <c r="S416" s="4">
        <v>0.49911800000000001</v>
      </c>
      <c r="T416" s="4">
        <v>0.22073200000000001</v>
      </c>
    </row>
    <row r="417" spans="1:20" ht="18">
      <c r="A417" s="2">
        <f t="shared" si="102"/>
        <v>416</v>
      </c>
      <c r="B417" s="7" t="s">
        <v>961</v>
      </c>
      <c r="I417" s="15" t="s">
        <v>437</v>
      </c>
      <c r="J417" s="15">
        <v>415</v>
      </c>
      <c r="K417" s="4">
        <v>0.26131300000000002</v>
      </c>
      <c r="L417" s="4">
        <v>-0.32736300000000002</v>
      </c>
      <c r="M417" s="4">
        <v>-1.8147470000000001</v>
      </c>
      <c r="N417" s="4">
        <v>1.079871</v>
      </c>
      <c r="O417" s="4">
        <v>-0.31696299999999999</v>
      </c>
      <c r="P417" s="4">
        <v>0.15051800000000001</v>
      </c>
      <c r="Q417" s="4">
        <v>2.3013140000000001</v>
      </c>
      <c r="R417" s="4">
        <v>1.4833149999999999</v>
      </c>
      <c r="S417" s="4">
        <v>0.32702100000000001</v>
      </c>
      <c r="T417" s="4">
        <v>-2.5532919999999999</v>
      </c>
    </row>
    <row r="418" spans="1:20" ht="18">
      <c r="A418" s="2">
        <f t="shared" si="102"/>
        <v>417</v>
      </c>
      <c r="B418" s="7" t="s">
        <v>962</v>
      </c>
      <c r="I418" s="15" t="s">
        <v>438</v>
      </c>
      <c r="J418" s="15">
        <v>416</v>
      </c>
      <c r="K418" s="4">
        <v>0.18457000000000001</v>
      </c>
      <c r="L418" s="4">
        <v>1.3193090000000001</v>
      </c>
      <c r="M418" s="4">
        <v>0.53320599999999996</v>
      </c>
      <c r="N418" s="4">
        <v>-0.53200700000000001</v>
      </c>
      <c r="O418" s="4">
        <v>0.403698</v>
      </c>
      <c r="P418" s="4">
        <v>-1.4714020000000001</v>
      </c>
      <c r="Q418" s="4">
        <v>0.59014500000000003</v>
      </c>
      <c r="R418" s="4">
        <v>-1.465368</v>
      </c>
      <c r="S418" s="4">
        <v>3.0538569999999998</v>
      </c>
      <c r="T418" s="4">
        <v>2.2875589999999999</v>
      </c>
    </row>
    <row r="419" spans="1:20" ht="18">
      <c r="A419" s="2">
        <f t="shared" si="102"/>
        <v>418</v>
      </c>
      <c r="B419" s="7" t="s">
        <v>963</v>
      </c>
      <c r="I419" s="15" t="s">
        <v>439</v>
      </c>
      <c r="J419" s="15">
        <v>417</v>
      </c>
      <c r="K419" s="4">
        <v>-1.737187</v>
      </c>
      <c r="L419" s="4">
        <v>0.45193899999999998</v>
      </c>
      <c r="M419" s="4">
        <v>-0.400557</v>
      </c>
      <c r="N419" s="4">
        <v>-1.2031999999999999E-2</v>
      </c>
      <c r="O419" s="4">
        <v>0.195354</v>
      </c>
      <c r="P419" s="4">
        <v>2.7591559999999999</v>
      </c>
      <c r="Q419" s="4">
        <v>-0.83591300000000002</v>
      </c>
      <c r="R419" s="4">
        <v>1.8476509999999999</v>
      </c>
      <c r="S419" s="4">
        <v>4.8807000000000003E-2</v>
      </c>
      <c r="T419" s="4">
        <v>-0.99831999999999999</v>
      </c>
    </row>
    <row r="420" spans="1:20" ht="18">
      <c r="A420" s="2">
        <f t="shared" si="102"/>
        <v>419</v>
      </c>
      <c r="B420" s="7" t="s">
        <v>964</v>
      </c>
      <c r="I420" s="15" t="s">
        <v>440</v>
      </c>
      <c r="J420" s="15">
        <v>418</v>
      </c>
      <c r="K420" s="4">
        <v>0.422483</v>
      </c>
      <c r="L420" s="4">
        <v>-0.27788499999999999</v>
      </c>
      <c r="M420" s="4">
        <v>-9.2796000000000003E-2</v>
      </c>
      <c r="N420" s="4">
        <v>0.187226</v>
      </c>
      <c r="O420" s="4">
        <v>-1.3172029999999999</v>
      </c>
      <c r="P420" s="4">
        <v>-1.5864469999999999</v>
      </c>
      <c r="Q420" s="4">
        <v>0.46552199999999999</v>
      </c>
      <c r="R420" s="4">
        <v>1.111658</v>
      </c>
      <c r="S420" s="4">
        <v>-0.413831</v>
      </c>
      <c r="T420" s="4">
        <v>0.13447100000000001</v>
      </c>
    </row>
    <row r="421" spans="1:20" ht="18">
      <c r="A421" s="2">
        <f t="shared" si="102"/>
        <v>420</v>
      </c>
      <c r="B421" s="7" t="s">
        <v>965</v>
      </c>
      <c r="I421" s="15" t="s">
        <v>441</v>
      </c>
      <c r="J421" s="15">
        <v>419</v>
      </c>
      <c r="K421" s="4">
        <v>-0.24460599999999999</v>
      </c>
      <c r="L421" s="4">
        <v>0.43006</v>
      </c>
      <c r="M421" s="4">
        <v>0.191529</v>
      </c>
      <c r="N421" s="4">
        <v>-0.54364500000000004</v>
      </c>
      <c r="O421" s="4">
        <v>-7.7662999999999996E-2</v>
      </c>
      <c r="P421" s="4">
        <v>-2.7275010000000002</v>
      </c>
      <c r="Q421" s="4">
        <v>-1.8219369999999999</v>
      </c>
      <c r="R421" s="4">
        <v>0.23377500000000001</v>
      </c>
      <c r="S421" s="4">
        <v>-1.133086</v>
      </c>
      <c r="T421" s="4">
        <v>1.5445420000000001</v>
      </c>
    </row>
    <row r="422" spans="1:20" ht="18">
      <c r="A422" s="2">
        <f t="shared" si="102"/>
        <v>421</v>
      </c>
      <c r="B422" s="7" t="s">
        <v>966</v>
      </c>
      <c r="I422" s="15" t="s">
        <v>442</v>
      </c>
      <c r="J422" s="15">
        <v>420</v>
      </c>
      <c r="K422" s="4">
        <v>1.0233350000000001</v>
      </c>
      <c r="L422" s="4">
        <v>-1.9404749999999999</v>
      </c>
      <c r="M422" s="4">
        <v>-0.64414300000000002</v>
      </c>
      <c r="N422" s="4">
        <v>-0.81413500000000005</v>
      </c>
      <c r="O422" s="4">
        <v>-0.29002299999999998</v>
      </c>
      <c r="P422" s="4">
        <v>-0.37375599999999998</v>
      </c>
      <c r="Q422" s="4">
        <v>1.167095</v>
      </c>
      <c r="R422" s="4">
        <v>1.955309</v>
      </c>
      <c r="S422" s="4">
        <v>1.232145</v>
      </c>
      <c r="T422" s="4">
        <v>-0.267675</v>
      </c>
    </row>
    <row r="423" spans="1:20" ht="18">
      <c r="A423" s="2">
        <f t="shared" si="102"/>
        <v>422</v>
      </c>
      <c r="B423" s="7" t="s">
        <v>967</v>
      </c>
      <c r="I423" s="15" t="s">
        <v>443</v>
      </c>
      <c r="J423" s="15">
        <v>421</v>
      </c>
      <c r="K423" s="4">
        <v>-1.424531</v>
      </c>
      <c r="L423" s="4">
        <v>1.6321650000000001</v>
      </c>
      <c r="M423" s="4">
        <v>5.0467999999999999E-2</v>
      </c>
      <c r="N423" s="4">
        <v>-0.178595</v>
      </c>
      <c r="O423" s="4">
        <v>-0.10617799999999999</v>
      </c>
      <c r="P423" s="4">
        <v>0.30793799999999999</v>
      </c>
      <c r="Q423" s="4">
        <v>0.17879700000000001</v>
      </c>
      <c r="R423" s="4">
        <v>-0.97719599999999995</v>
      </c>
      <c r="S423" s="4">
        <v>0.45967599999999997</v>
      </c>
      <c r="T423" s="4">
        <v>-1.133445</v>
      </c>
    </row>
    <row r="424" spans="1:20" ht="18">
      <c r="A424" s="2">
        <f t="shared" si="102"/>
        <v>423</v>
      </c>
      <c r="B424" s="7" t="s">
        <v>968</v>
      </c>
      <c r="I424" s="15" t="s">
        <v>444</v>
      </c>
      <c r="J424" s="15">
        <v>422</v>
      </c>
      <c r="K424" s="4">
        <v>0.33554099999999998</v>
      </c>
      <c r="L424" s="4">
        <v>0.59553599999999995</v>
      </c>
      <c r="M424" s="4">
        <v>-0.16528100000000001</v>
      </c>
      <c r="N424" s="4">
        <v>0.42013600000000001</v>
      </c>
      <c r="O424" s="4">
        <v>-0.39020700000000003</v>
      </c>
      <c r="P424" s="4">
        <v>-0.56234399999999996</v>
      </c>
      <c r="Q424" s="4">
        <v>-0.92822800000000005</v>
      </c>
      <c r="R424" s="4">
        <v>1.270672</v>
      </c>
      <c r="S424" s="4">
        <v>1.0294490000000001</v>
      </c>
      <c r="T424" s="4">
        <v>-3.2226999999999999E-2</v>
      </c>
    </row>
    <row r="425" spans="1:20" ht="18">
      <c r="A425" s="2">
        <f t="shared" si="102"/>
        <v>424</v>
      </c>
      <c r="B425" s="7" t="s">
        <v>969</v>
      </c>
      <c r="I425" s="15" t="s">
        <v>445</v>
      </c>
      <c r="J425" s="15">
        <v>423</v>
      </c>
      <c r="K425" s="4">
        <v>2.4392610000000001</v>
      </c>
      <c r="L425" s="4">
        <v>1.2355130000000001</v>
      </c>
      <c r="M425" s="4">
        <v>-1.061294</v>
      </c>
      <c r="N425" s="4">
        <v>-0.82643699999999998</v>
      </c>
      <c r="O425" s="4">
        <v>-0.28446900000000003</v>
      </c>
      <c r="P425" s="4">
        <v>0.17590700000000001</v>
      </c>
      <c r="Q425" s="4">
        <v>-0.47539399999999998</v>
      </c>
      <c r="R425" s="4">
        <v>-0.113509</v>
      </c>
      <c r="S425" s="4">
        <v>-1.0964210000000001</v>
      </c>
      <c r="T425" s="4">
        <v>0.29084399999999999</v>
      </c>
    </row>
    <row r="426" spans="1:20" ht="18">
      <c r="A426" s="2">
        <f t="shared" si="102"/>
        <v>425</v>
      </c>
      <c r="B426" s="7" t="s">
        <v>970</v>
      </c>
      <c r="I426" s="15" t="s">
        <v>446</v>
      </c>
      <c r="J426" s="15">
        <v>424</v>
      </c>
      <c r="K426" s="4">
        <v>-0.21026600000000001</v>
      </c>
      <c r="L426" s="4">
        <v>1.6980820000000001</v>
      </c>
      <c r="M426" s="4">
        <v>1.1627989999999999</v>
      </c>
      <c r="N426" s="4">
        <v>1.5572969999999999</v>
      </c>
      <c r="O426" s="4">
        <v>-1.634782</v>
      </c>
      <c r="P426" s="4">
        <v>-0.48532500000000001</v>
      </c>
      <c r="Q426" s="4">
        <v>1.269366</v>
      </c>
      <c r="R426" s="4">
        <v>0.28269899999999998</v>
      </c>
      <c r="S426" s="4">
        <v>-1.5520229999999999</v>
      </c>
      <c r="T426" s="4">
        <v>-0.85203799999999996</v>
      </c>
    </row>
    <row r="427" spans="1:20" ht="18">
      <c r="A427" s="2">
        <f t="shared" si="102"/>
        <v>426</v>
      </c>
      <c r="B427" s="7" t="s">
        <v>971</v>
      </c>
      <c r="I427" s="15" t="s">
        <v>447</v>
      </c>
      <c r="J427" s="15">
        <v>425</v>
      </c>
      <c r="K427" s="4">
        <v>-5.9020000000000001E-3</v>
      </c>
      <c r="L427" s="4">
        <v>1.171468</v>
      </c>
      <c r="M427" s="4">
        <v>-0.113207</v>
      </c>
      <c r="N427" s="4">
        <v>-1.1229659999999999</v>
      </c>
      <c r="O427" s="4">
        <v>-0.57100300000000004</v>
      </c>
      <c r="P427" s="4">
        <v>0.23791999999999999</v>
      </c>
      <c r="Q427" s="4">
        <v>0.109864</v>
      </c>
      <c r="R427" s="4">
        <v>-1.477333</v>
      </c>
      <c r="S427" s="4">
        <v>-1.911022</v>
      </c>
      <c r="T427" s="4">
        <v>0.399955</v>
      </c>
    </row>
    <row r="428" spans="1:20" ht="18">
      <c r="A428" s="2">
        <f t="shared" si="102"/>
        <v>427</v>
      </c>
      <c r="B428" s="7" t="s">
        <v>972</v>
      </c>
      <c r="I428" s="15" t="s">
        <v>448</v>
      </c>
      <c r="J428" s="15">
        <v>426</v>
      </c>
      <c r="K428" s="4">
        <v>-0.14548</v>
      </c>
      <c r="L428" s="4">
        <v>0.91327599999999998</v>
      </c>
      <c r="M428" s="4">
        <v>-1.59446</v>
      </c>
      <c r="N428" s="4">
        <v>-0.999135</v>
      </c>
      <c r="O428" s="4">
        <v>0.43840299999999999</v>
      </c>
      <c r="P428" s="4">
        <v>-0.69423900000000005</v>
      </c>
      <c r="Q428" s="4">
        <v>-1.2274449999999999</v>
      </c>
      <c r="R428" s="4">
        <v>0.69033900000000004</v>
      </c>
      <c r="S428" s="4">
        <v>1.244953</v>
      </c>
      <c r="T428" s="4">
        <v>-0.202676</v>
      </c>
    </row>
    <row r="429" spans="1:20" ht="18">
      <c r="A429" s="2">
        <f t="shared" si="102"/>
        <v>428</v>
      </c>
      <c r="B429" s="7" t="s">
        <v>973</v>
      </c>
      <c r="I429" s="15" t="s">
        <v>449</v>
      </c>
      <c r="J429" s="15">
        <v>427</v>
      </c>
      <c r="K429" s="4">
        <v>1.0365230000000001</v>
      </c>
      <c r="L429" s="4">
        <v>1.18513</v>
      </c>
      <c r="M429" s="4">
        <v>-0.19142400000000001</v>
      </c>
      <c r="N429" s="4">
        <v>-1.927414</v>
      </c>
      <c r="O429" s="4">
        <v>-0.95491000000000004</v>
      </c>
      <c r="P429" s="4">
        <v>-0.52119199999999999</v>
      </c>
      <c r="Q429" s="4">
        <v>-0.51695100000000005</v>
      </c>
      <c r="R429" s="4">
        <v>1.1868939999999999</v>
      </c>
      <c r="S429" s="4">
        <v>0.24904499999999999</v>
      </c>
      <c r="T429" s="4">
        <v>0.22334100000000001</v>
      </c>
    </row>
    <row r="430" spans="1:20" ht="18">
      <c r="A430" s="2">
        <f t="shared" si="102"/>
        <v>429</v>
      </c>
      <c r="B430" s="7" t="s">
        <v>974</v>
      </c>
      <c r="I430" s="15" t="s">
        <v>450</v>
      </c>
      <c r="J430" s="15">
        <v>428</v>
      </c>
      <c r="K430" s="4">
        <v>1.4790620000000001</v>
      </c>
      <c r="L430" s="4">
        <v>-1.2117290000000001</v>
      </c>
      <c r="M430" s="4">
        <v>-0.29189900000000002</v>
      </c>
      <c r="N430" s="4">
        <v>2.873345</v>
      </c>
      <c r="O430" s="4">
        <v>1.0609710000000001</v>
      </c>
      <c r="P430" s="4">
        <v>1.983768</v>
      </c>
      <c r="Q430" s="4">
        <v>0.77477600000000002</v>
      </c>
      <c r="R430" s="4">
        <v>-0.49225600000000003</v>
      </c>
      <c r="S430" s="4">
        <v>-0.56571000000000005</v>
      </c>
      <c r="T430" s="4">
        <v>-0.251106</v>
      </c>
    </row>
    <row r="431" spans="1:20" ht="18">
      <c r="A431" s="2">
        <f t="shared" si="102"/>
        <v>430</v>
      </c>
      <c r="B431" s="7" t="s">
        <v>975</v>
      </c>
      <c r="I431" s="15" t="s">
        <v>451</v>
      </c>
      <c r="J431" s="15">
        <v>429</v>
      </c>
      <c r="K431" s="4">
        <v>-1.3300019999999999</v>
      </c>
      <c r="L431" s="4">
        <v>-0.41247699999999998</v>
      </c>
      <c r="M431" s="4">
        <v>-1.051123</v>
      </c>
      <c r="N431" s="4">
        <v>1.613248</v>
      </c>
      <c r="O431" s="4">
        <v>-0.43999100000000002</v>
      </c>
      <c r="P431" s="4">
        <v>-0.97436299999999998</v>
      </c>
      <c r="Q431" s="4">
        <v>2.2134000000000001E-2</v>
      </c>
      <c r="R431" s="4">
        <v>-0.51981599999999994</v>
      </c>
      <c r="S431" s="4">
        <v>-0.495425</v>
      </c>
      <c r="T431" s="4">
        <v>0.93500399999999995</v>
      </c>
    </row>
    <row r="432" spans="1:20" ht="18">
      <c r="A432" s="2">
        <f t="shared" si="102"/>
        <v>431</v>
      </c>
      <c r="B432" s="7" t="s">
        <v>976</v>
      </c>
      <c r="I432" s="15" t="s">
        <v>452</v>
      </c>
      <c r="J432" s="15">
        <v>430</v>
      </c>
      <c r="K432" s="4">
        <v>0.49622300000000003</v>
      </c>
      <c r="L432" s="4">
        <v>-0.37118499999999999</v>
      </c>
      <c r="M432" s="4">
        <v>-0.83386499999999997</v>
      </c>
      <c r="N432" s="4">
        <v>2.7074000000000001E-2</v>
      </c>
      <c r="O432" s="4">
        <v>-7.1068999999999993E-2</v>
      </c>
      <c r="P432" s="4">
        <v>0.77427800000000002</v>
      </c>
      <c r="Q432" s="4">
        <v>6.1520000000000004E-3</v>
      </c>
      <c r="R432" s="4">
        <v>-0.37783</v>
      </c>
      <c r="S432" s="4">
        <v>1.383486</v>
      </c>
      <c r="T432" s="4">
        <v>-0.400534</v>
      </c>
    </row>
    <row r="433" spans="1:20" ht="18">
      <c r="A433" s="2">
        <f t="shared" si="102"/>
        <v>432</v>
      </c>
      <c r="B433" s="7" t="s">
        <v>977</v>
      </c>
      <c r="I433" s="15" t="s">
        <v>453</v>
      </c>
      <c r="J433" s="15">
        <v>431</v>
      </c>
      <c r="K433" s="4">
        <v>0.22315099999999999</v>
      </c>
      <c r="L433" s="4">
        <v>-1.759242</v>
      </c>
      <c r="M433" s="4">
        <v>-1.625416</v>
      </c>
      <c r="N433" s="4">
        <v>-0.40768300000000002</v>
      </c>
      <c r="O433" s="4">
        <v>-1.152887</v>
      </c>
      <c r="P433" s="4">
        <v>0.21474499999999999</v>
      </c>
      <c r="Q433" s="4">
        <v>0.66013999999999995</v>
      </c>
      <c r="R433" s="4">
        <v>1.4560900000000001</v>
      </c>
      <c r="S433" s="4">
        <v>0.90961800000000004</v>
      </c>
      <c r="T433" s="4">
        <v>-1.5164629999999999</v>
      </c>
    </row>
    <row r="434" spans="1:20" ht="18">
      <c r="A434" s="2">
        <f t="shared" si="102"/>
        <v>433</v>
      </c>
      <c r="B434" s="7" t="s">
        <v>978</v>
      </c>
      <c r="I434" s="15" t="s">
        <v>454</v>
      </c>
      <c r="J434" s="15">
        <v>432</v>
      </c>
      <c r="K434" s="4">
        <v>0.46999800000000003</v>
      </c>
      <c r="L434" s="4">
        <v>1.3480030000000001</v>
      </c>
      <c r="M434" s="4">
        <v>2.1269610000000001</v>
      </c>
      <c r="N434" s="4">
        <v>0.75406499999999999</v>
      </c>
      <c r="O434" s="4">
        <v>0.53542400000000001</v>
      </c>
      <c r="P434" s="4">
        <v>0.320164</v>
      </c>
      <c r="Q434" s="4">
        <v>0.106377</v>
      </c>
      <c r="R434" s="4">
        <v>-0.46691500000000002</v>
      </c>
      <c r="S434" s="4">
        <v>9.9559999999999996E-2</v>
      </c>
      <c r="T434" s="4">
        <v>0.83614100000000002</v>
      </c>
    </row>
    <row r="435" spans="1:20" ht="18">
      <c r="A435" s="2">
        <f t="shared" si="102"/>
        <v>434</v>
      </c>
      <c r="B435" s="7" t="s">
        <v>979</v>
      </c>
      <c r="I435" s="15" t="s">
        <v>455</v>
      </c>
      <c r="J435" s="15">
        <v>433</v>
      </c>
      <c r="K435" s="4">
        <v>-1.1941139999999999</v>
      </c>
      <c r="L435" s="4">
        <v>2.6371449999999999</v>
      </c>
      <c r="M435" s="4">
        <v>0.1133</v>
      </c>
      <c r="N435" s="4">
        <v>0.44955800000000001</v>
      </c>
      <c r="O435" s="4">
        <v>-1.3858520000000001</v>
      </c>
      <c r="P435" s="4">
        <v>-1.421206</v>
      </c>
      <c r="Q435" s="4">
        <v>-1.3966799999999999</v>
      </c>
      <c r="R435" s="4">
        <v>0.94315300000000002</v>
      </c>
      <c r="S435" s="4">
        <v>-0.73872300000000002</v>
      </c>
      <c r="T435" s="4">
        <v>0.44646200000000003</v>
      </c>
    </row>
    <row r="436" spans="1:20" ht="18">
      <c r="A436" s="2">
        <f t="shared" si="102"/>
        <v>435</v>
      </c>
      <c r="B436" s="7" t="s">
        <v>980</v>
      </c>
      <c r="I436" s="15" t="s">
        <v>456</v>
      </c>
      <c r="J436" s="15">
        <v>434</v>
      </c>
      <c r="K436" s="4">
        <v>-0.38633699999999999</v>
      </c>
      <c r="L436" s="4">
        <v>-6.6459000000000004E-2</v>
      </c>
      <c r="M436" s="4">
        <v>-1.4560979999999999</v>
      </c>
      <c r="N436" s="4">
        <v>0.44629200000000002</v>
      </c>
      <c r="O436" s="4">
        <v>0.40744399999999997</v>
      </c>
      <c r="P436" s="4">
        <v>2.2975590000000001</v>
      </c>
      <c r="Q436" s="4">
        <v>0.16353500000000001</v>
      </c>
      <c r="R436" s="4">
        <v>0.202234</v>
      </c>
      <c r="S436" s="4">
        <v>-0.46888999999999997</v>
      </c>
      <c r="T436" s="4">
        <v>1.4164019999999999</v>
      </c>
    </row>
    <row r="437" spans="1:20" ht="18">
      <c r="A437" s="2">
        <f t="shared" si="102"/>
        <v>436</v>
      </c>
      <c r="B437" s="7" t="s">
        <v>981</v>
      </c>
      <c r="I437" s="15" t="s">
        <v>457</v>
      </c>
      <c r="J437" s="15">
        <v>435</v>
      </c>
      <c r="K437" s="4">
        <v>0.96113899999999997</v>
      </c>
      <c r="L437" s="4">
        <v>0.67945500000000003</v>
      </c>
      <c r="M437" s="4">
        <v>0.23411799999999999</v>
      </c>
      <c r="N437" s="4">
        <v>-1.2417860000000001</v>
      </c>
      <c r="O437" s="4">
        <v>6.6674999999999998E-2</v>
      </c>
      <c r="P437" s="4">
        <v>-0.58077400000000001</v>
      </c>
      <c r="Q437" s="4">
        <v>-0.70762599999999998</v>
      </c>
      <c r="R437" s="4">
        <v>-1.2089110000000001</v>
      </c>
      <c r="S437" s="4">
        <v>-8.9038000000000006E-2</v>
      </c>
      <c r="T437" s="4">
        <v>1.6971179999999999</v>
      </c>
    </row>
    <row r="438" spans="1:20" ht="18">
      <c r="A438" s="2">
        <f t="shared" si="102"/>
        <v>437</v>
      </c>
      <c r="B438" s="7" t="s">
        <v>982</v>
      </c>
      <c r="I438" s="15" t="s">
        <v>458</v>
      </c>
      <c r="J438" s="15">
        <v>436</v>
      </c>
      <c r="K438" s="4">
        <v>0.69926900000000003</v>
      </c>
      <c r="L438" s="4">
        <v>0.53865600000000002</v>
      </c>
      <c r="M438" s="4">
        <v>1.0378069999999999</v>
      </c>
      <c r="N438" s="4">
        <v>-1.0712280000000001</v>
      </c>
      <c r="O438" s="4">
        <v>-0.39048300000000002</v>
      </c>
      <c r="P438" s="4">
        <v>0.40714400000000001</v>
      </c>
      <c r="Q438" s="4">
        <v>-0.59983699999999995</v>
      </c>
      <c r="R438" s="4">
        <v>-0.83221699999999998</v>
      </c>
      <c r="S438" s="4">
        <v>-1.4520999999999999E-2</v>
      </c>
      <c r="T438" s="4">
        <v>0.86707599999999996</v>
      </c>
    </row>
    <row r="439" spans="1:20" ht="18">
      <c r="A439" s="2">
        <f t="shared" si="102"/>
        <v>438</v>
      </c>
      <c r="B439" s="7" t="s">
        <v>983</v>
      </c>
      <c r="I439" s="15" t="s">
        <v>459</v>
      </c>
      <c r="J439" s="15">
        <v>437</v>
      </c>
      <c r="K439" s="4">
        <v>0.93763799999999997</v>
      </c>
      <c r="L439" s="4">
        <v>-0.86378900000000003</v>
      </c>
      <c r="M439" s="4">
        <v>1.0696369999999999</v>
      </c>
      <c r="N439" s="4">
        <v>-1.0412440000000001</v>
      </c>
      <c r="O439" s="4">
        <v>0.81419299999999994</v>
      </c>
      <c r="P439" s="4">
        <v>-3.006E-3</v>
      </c>
      <c r="Q439" s="4">
        <v>-0.35486400000000001</v>
      </c>
      <c r="R439" s="4">
        <v>-1.7788010000000001</v>
      </c>
      <c r="S439" s="4">
        <v>0.55389600000000005</v>
      </c>
      <c r="T439" s="4">
        <v>0.85609400000000002</v>
      </c>
    </row>
    <row r="440" spans="1:20" ht="18">
      <c r="A440" s="2">
        <f t="shared" si="102"/>
        <v>439</v>
      </c>
      <c r="B440" s="7" t="s">
        <v>984</v>
      </c>
      <c r="I440" s="15" t="s">
        <v>460</v>
      </c>
      <c r="J440" s="15">
        <v>438</v>
      </c>
      <c r="K440" s="4">
        <v>-1.4045350000000001</v>
      </c>
      <c r="L440" s="4">
        <v>0.66994399999999998</v>
      </c>
      <c r="M440" s="4">
        <v>-0.190197</v>
      </c>
      <c r="N440" s="4">
        <v>-2.256316</v>
      </c>
      <c r="O440" s="4">
        <v>1.632388</v>
      </c>
      <c r="P440" s="4">
        <v>0.70291599999999999</v>
      </c>
      <c r="Q440" s="4">
        <v>-0.2089</v>
      </c>
      <c r="R440" s="4">
        <v>-1.3529389999999999</v>
      </c>
      <c r="S440" s="4">
        <v>0.74473500000000004</v>
      </c>
      <c r="T440" s="4">
        <v>-1.4160239999999999</v>
      </c>
    </row>
    <row r="441" spans="1:20" ht="18">
      <c r="A441" s="2">
        <f t="shared" si="102"/>
        <v>440</v>
      </c>
      <c r="B441" s="7" t="s">
        <v>985</v>
      </c>
      <c r="I441" s="15" t="s">
        <v>461</v>
      </c>
      <c r="J441" s="15">
        <v>439</v>
      </c>
      <c r="K441" s="4">
        <v>0.99999000000000005</v>
      </c>
      <c r="L441" s="4">
        <v>-0.210008</v>
      </c>
      <c r="M441" s="4">
        <v>-0.39622400000000002</v>
      </c>
      <c r="N441" s="4">
        <v>-1.126738</v>
      </c>
      <c r="O441" s="4">
        <v>0.79753300000000005</v>
      </c>
      <c r="P441" s="4">
        <v>0.376027</v>
      </c>
      <c r="Q441" s="4">
        <v>-1.5125169999999999</v>
      </c>
      <c r="R441" s="4">
        <v>1.078274</v>
      </c>
      <c r="S441" s="4">
        <v>-2.8510000000000001E-2</v>
      </c>
      <c r="T441" s="4">
        <v>0.13644700000000001</v>
      </c>
    </row>
    <row r="442" spans="1:20" ht="18">
      <c r="A442" s="2">
        <f t="shared" si="102"/>
        <v>441</v>
      </c>
      <c r="B442" s="7" t="s">
        <v>986</v>
      </c>
      <c r="I442" s="15" t="s">
        <v>462</v>
      </c>
      <c r="J442" s="15">
        <v>440</v>
      </c>
      <c r="K442" s="4">
        <v>0.54613599999999995</v>
      </c>
      <c r="L442" s="4">
        <v>-0.64020299999999997</v>
      </c>
      <c r="M442" s="4">
        <v>8.8806999999999997E-2</v>
      </c>
      <c r="N442" s="4">
        <v>-1.2039770000000001</v>
      </c>
      <c r="O442" s="4">
        <v>1.024807</v>
      </c>
      <c r="P442" s="4">
        <v>0.88882099999999997</v>
      </c>
      <c r="Q442" s="4">
        <v>3.0096999999999999E-2</v>
      </c>
      <c r="R442" s="4">
        <v>-1.1722159999999999</v>
      </c>
      <c r="S442" s="4">
        <v>4.4359659999999996</v>
      </c>
      <c r="T442" s="4">
        <v>1.0552710000000001</v>
      </c>
    </row>
    <row r="443" spans="1:20" ht="18">
      <c r="A443" s="2">
        <f t="shared" si="102"/>
        <v>442</v>
      </c>
      <c r="B443" s="7" t="s">
        <v>987</v>
      </c>
      <c r="I443" s="15" t="s">
        <v>463</v>
      </c>
      <c r="J443" s="15">
        <v>441</v>
      </c>
      <c r="K443" s="4">
        <v>0.16355700000000001</v>
      </c>
      <c r="L443" s="4">
        <v>0.794763</v>
      </c>
      <c r="M443" s="4">
        <v>0.13084799999999999</v>
      </c>
      <c r="N443" s="4">
        <v>0.106146</v>
      </c>
      <c r="O443" s="4">
        <v>0.77676800000000001</v>
      </c>
      <c r="P443" s="4">
        <v>-1.9380000000000001E-2</v>
      </c>
      <c r="Q443" s="4">
        <v>0.33813399999999999</v>
      </c>
      <c r="R443" s="4">
        <v>-1.492183</v>
      </c>
      <c r="S443" s="4">
        <v>0.33327299999999999</v>
      </c>
      <c r="T443" s="4">
        <v>0.16792299999999999</v>
      </c>
    </row>
    <row r="444" spans="1:20" ht="18">
      <c r="A444" s="2">
        <f t="shared" si="102"/>
        <v>443</v>
      </c>
      <c r="B444" s="7" t="s">
        <v>988</v>
      </c>
      <c r="I444" s="15" t="s">
        <v>464</v>
      </c>
      <c r="J444" s="15">
        <v>442</v>
      </c>
      <c r="K444" s="4">
        <v>0.177375</v>
      </c>
      <c r="L444" s="4">
        <v>0.40204099999999998</v>
      </c>
      <c r="M444" s="4">
        <v>-0.80445900000000004</v>
      </c>
      <c r="N444" s="4">
        <v>0.32282100000000002</v>
      </c>
      <c r="O444" s="4">
        <v>0.54851300000000003</v>
      </c>
      <c r="P444" s="4">
        <v>0.119422</v>
      </c>
      <c r="Q444" s="4">
        <v>0.11494500000000001</v>
      </c>
      <c r="R444" s="4">
        <v>0.26381900000000003</v>
      </c>
      <c r="S444" s="4">
        <v>1.114789</v>
      </c>
      <c r="T444" s="4">
        <v>1.0894440000000001</v>
      </c>
    </row>
    <row r="445" spans="1:20" ht="18">
      <c r="A445" s="2">
        <f t="shared" si="102"/>
        <v>444</v>
      </c>
      <c r="B445" s="7" t="s">
        <v>989</v>
      </c>
      <c r="I445" s="15" t="s">
        <v>465</v>
      </c>
      <c r="J445" s="15">
        <v>443</v>
      </c>
      <c r="K445" s="4">
        <v>-0.139402</v>
      </c>
      <c r="L445" s="4">
        <v>-0.92832400000000004</v>
      </c>
      <c r="M445" s="4">
        <v>-0.94418599999999997</v>
      </c>
      <c r="N445" s="4">
        <v>0.41189500000000001</v>
      </c>
      <c r="O445" s="4">
        <v>0.49935200000000002</v>
      </c>
      <c r="P445" s="4">
        <v>0.77483900000000006</v>
      </c>
      <c r="Q445" s="4">
        <v>-0.204869</v>
      </c>
      <c r="R445" s="4">
        <v>-0.71838500000000005</v>
      </c>
      <c r="S445" s="4">
        <v>-0.82972500000000005</v>
      </c>
      <c r="T445" s="4">
        <v>-0.50984099999999999</v>
      </c>
    </row>
    <row r="446" spans="1:20" ht="18">
      <c r="A446" s="2">
        <f t="shared" si="102"/>
        <v>445</v>
      </c>
      <c r="B446" s="7" t="s">
        <v>990</v>
      </c>
      <c r="I446" s="15" t="s">
        <v>466</v>
      </c>
      <c r="J446" s="15">
        <v>444</v>
      </c>
      <c r="K446" s="4">
        <v>-0.330426</v>
      </c>
      <c r="L446" s="4">
        <v>1.3983779999999999</v>
      </c>
      <c r="M446" s="4">
        <v>-2.2003699999999999</v>
      </c>
      <c r="N446" s="4">
        <v>4.0526E-2</v>
      </c>
      <c r="O446" s="4">
        <v>-0.84252800000000005</v>
      </c>
      <c r="P446" s="4">
        <v>-0.59019900000000003</v>
      </c>
      <c r="Q446" s="4">
        <v>0.96586799999999995</v>
      </c>
      <c r="R446" s="4">
        <v>0.73224199999999995</v>
      </c>
      <c r="S446" s="4">
        <v>-1.872609</v>
      </c>
      <c r="T446" s="4">
        <v>1.2079800000000001</v>
      </c>
    </row>
    <row r="447" spans="1:20" ht="18">
      <c r="A447" s="2">
        <f t="shared" si="102"/>
        <v>446</v>
      </c>
      <c r="B447" s="7" t="s">
        <v>991</v>
      </c>
      <c r="I447" s="15" t="s">
        <v>467</v>
      </c>
      <c r="J447" s="15">
        <v>445</v>
      </c>
      <c r="K447" s="4">
        <v>-0.70006599999999997</v>
      </c>
      <c r="L447" s="4">
        <v>-0.65122500000000005</v>
      </c>
      <c r="M447" s="4">
        <v>0.333957</v>
      </c>
      <c r="N447" s="4">
        <v>-0.48163099999999998</v>
      </c>
      <c r="O447" s="4">
        <v>-1.1007899999999999</v>
      </c>
      <c r="P447" s="4">
        <v>-0.19336999999999999</v>
      </c>
      <c r="Q447" s="4">
        <v>-0.41616799999999998</v>
      </c>
      <c r="R447" s="4">
        <v>0.42892200000000003</v>
      </c>
      <c r="S447" s="4">
        <v>0.53505800000000003</v>
      </c>
      <c r="T447" s="4">
        <v>0.70504</v>
      </c>
    </row>
    <row r="448" spans="1:20" ht="18">
      <c r="A448" s="2">
        <f t="shared" si="102"/>
        <v>447</v>
      </c>
      <c r="B448" s="7" t="s">
        <v>992</v>
      </c>
      <c r="I448" s="15" t="s">
        <v>468</v>
      </c>
      <c r="J448" s="15">
        <v>446</v>
      </c>
      <c r="K448" s="4">
        <v>1.2385360000000001</v>
      </c>
      <c r="L448" s="4">
        <v>-0.81323900000000005</v>
      </c>
      <c r="M448" s="4">
        <v>-0.65786</v>
      </c>
      <c r="N448" s="4">
        <v>-0.36574499999999999</v>
      </c>
      <c r="O448" s="4">
        <v>-0.52098299999999997</v>
      </c>
      <c r="P448" s="4">
        <v>0.774586</v>
      </c>
      <c r="Q448" s="4">
        <v>0.73460000000000003</v>
      </c>
      <c r="R448" s="4">
        <v>0.11164300000000001</v>
      </c>
      <c r="S448" s="4">
        <v>-1.7533069999999999</v>
      </c>
      <c r="T448" s="4">
        <v>-1.1919789999999999</v>
      </c>
    </row>
    <row r="449" spans="1:20" ht="18">
      <c r="A449" s="2">
        <f t="shared" si="102"/>
        <v>448</v>
      </c>
      <c r="B449" s="7" t="s">
        <v>993</v>
      </c>
      <c r="I449" s="15" t="s">
        <v>469</v>
      </c>
      <c r="J449" s="15">
        <v>447</v>
      </c>
      <c r="K449" s="4">
        <v>1.0106390000000001</v>
      </c>
      <c r="L449" s="4">
        <v>-1.952E-3</v>
      </c>
      <c r="M449" s="4">
        <v>-0.62894799999999995</v>
      </c>
      <c r="N449" s="4">
        <v>1.4963900000000001</v>
      </c>
      <c r="O449" s="4">
        <v>-2.5600580000000002</v>
      </c>
      <c r="P449" s="4">
        <v>-0.29906700000000003</v>
      </c>
      <c r="Q449" s="4">
        <v>-0.138933</v>
      </c>
      <c r="R449" s="4">
        <v>-1.1643920000000001</v>
      </c>
      <c r="S449" s="4">
        <v>-1.5213080000000001</v>
      </c>
      <c r="T449" s="4">
        <v>2.1887789999999998</v>
      </c>
    </row>
    <row r="450" spans="1:20" ht="18">
      <c r="A450" s="2">
        <f t="shared" si="102"/>
        <v>449</v>
      </c>
      <c r="B450" s="7" t="s">
        <v>994</v>
      </c>
      <c r="I450" s="15" t="s">
        <v>470</v>
      </c>
      <c r="J450" s="15">
        <v>448</v>
      </c>
      <c r="K450" s="4">
        <v>-0.98619999999999997</v>
      </c>
      <c r="L450" s="4">
        <v>1.5246980000000001</v>
      </c>
      <c r="M450" s="4">
        <v>0.688276</v>
      </c>
      <c r="N450" s="4">
        <v>-2.7602999999999999E-2</v>
      </c>
      <c r="O450" s="4">
        <v>-0.56570699999999996</v>
      </c>
      <c r="P450" s="4">
        <v>0.66591</v>
      </c>
      <c r="Q450" s="4">
        <v>-1.917168</v>
      </c>
      <c r="R450" s="4">
        <v>1.048003</v>
      </c>
      <c r="S450" s="4">
        <v>0.18480099999999999</v>
      </c>
      <c r="T450" s="4">
        <v>-0.64802700000000002</v>
      </c>
    </row>
    <row r="451" spans="1:20" ht="18">
      <c r="A451" s="2">
        <f t="shared" ref="A451:A514" si="103">ROW()-1</f>
        <v>450</v>
      </c>
      <c r="B451" s="7" t="s">
        <v>995</v>
      </c>
      <c r="I451" s="15" t="s">
        <v>471</v>
      </c>
      <c r="J451" s="15">
        <v>449</v>
      </c>
      <c r="K451" s="4">
        <v>0.84786700000000004</v>
      </c>
      <c r="L451" s="4">
        <v>-1.978621</v>
      </c>
      <c r="M451" s="4">
        <v>1.4555750000000001</v>
      </c>
      <c r="N451" s="4">
        <v>0.66023200000000004</v>
      </c>
      <c r="O451" s="4">
        <v>-0.38302900000000001</v>
      </c>
      <c r="P451" s="4">
        <v>1.0727599999999999</v>
      </c>
      <c r="Q451" s="4">
        <v>1.857075</v>
      </c>
      <c r="R451" s="4">
        <v>-0.123332</v>
      </c>
      <c r="S451" s="4">
        <v>-0.52919400000000005</v>
      </c>
      <c r="T451" s="4">
        <v>0.59653800000000001</v>
      </c>
    </row>
    <row r="452" spans="1:20" ht="18">
      <c r="A452" s="2">
        <f t="shared" si="103"/>
        <v>451</v>
      </c>
      <c r="B452" s="7" t="s">
        <v>996</v>
      </c>
      <c r="I452" s="15" t="s">
        <v>472</v>
      </c>
      <c r="J452" s="15">
        <v>450</v>
      </c>
      <c r="K452" s="4">
        <v>0.373969</v>
      </c>
      <c r="L452" s="4">
        <v>-1.317761</v>
      </c>
      <c r="M452" s="4">
        <v>0.65993400000000002</v>
      </c>
      <c r="N452" s="4">
        <v>-1.1868300000000001</v>
      </c>
      <c r="O452" s="4">
        <v>-1.152684</v>
      </c>
      <c r="P452" s="4">
        <v>1.1779569999999999</v>
      </c>
      <c r="Q452" s="4">
        <v>0.77364299999999997</v>
      </c>
      <c r="R452" s="4">
        <v>0.72783299999999995</v>
      </c>
      <c r="S452" s="4">
        <v>0.43141099999999999</v>
      </c>
      <c r="T452" s="4">
        <v>0.87696600000000002</v>
      </c>
    </row>
    <row r="453" spans="1:20" ht="18">
      <c r="A453" s="2">
        <f t="shared" si="103"/>
        <v>452</v>
      </c>
      <c r="B453" s="7" t="s">
        <v>997</v>
      </c>
      <c r="I453" s="15" t="s">
        <v>473</v>
      </c>
      <c r="J453" s="15">
        <v>451</v>
      </c>
      <c r="K453" s="4">
        <v>0.53532400000000002</v>
      </c>
      <c r="L453" s="4">
        <v>0.13058800000000001</v>
      </c>
      <c r="M453" s="4">
        <v>2.111116</v>
      </c>
      <c r="N453" s="4">
        <v>-0.63503399999999999</v>
      </c>
      <c r="O453" s="4">
        <v>0.57485399999999998</v>
      </c>
      <c r="P453" s="4">
        <v>0.58013999999999999</v>
      </c>
      <c r="Q453" s="4">
        <v>-0.77352299999999996</v>
      </c>
      <c r="R453" s="4">
        <v>-1.020575</v>
      </c>
      <c r="S453" s="4">
        <v>-0.17052200000000001</v>
      </c>
      <c r="T453" s="4">
        <v>-0.27431299999999997</v>
      </c>
    </row>
    <row r="454" spans="1:20" ht="18">
      <c r="A454" s="2">
        <f t="shared" si="103"/>
        <v>453</v>
      </c>
      <c r="B454" s="7" t="s">
        <v>998</v>
      </c>
      <c r="I454" s="15" t="s">
        <v>474</v>
      </c>
      <c r="J454" s="15">
        <v>452</v>
      </c>
      <c r="K454" s="4">
        <v>2.0529280000000001</v>
      </c>
      <c r="L454" s="4">
        <v>-0.52582799999999996</v>
      </c>
      <c r="M454" s="4">
        <v>-1.05497</v>
      </c>
      <c r="N454" s="4">
        <v>-1.217867</v>
      </c>
      <c r="O454" s="4">
        <v>2.0047440000000001</v>
      </c>
      <c r="P454" s="4">
        <v>-0.131193</v>
      </c>
      <c r="Q454" s="4">
        <v>5.2143000000000002E-2</v>
      </c>
      <c r="R454" s="4">
        <v>0.53972600000000004</v>
      </c>
      <c r="S454" s="4">
        <v>0.78011900000000001</v>
      </c>
      <c r="T454" s="4">
        <v>0.24523</v>
      </c>
    </row>
    <row r="455" spans="1:20" ht="18">
      <c r="A455" s="2">
        <f t="shared" si="103"/>
        <v>454</v>
      </c>
      <c r="B455" s="7" t="s">
        <v>999</v>
      </c>
      <c r="I455" s="15" t="s">
        <v>475</v>
      </c>
      <c r="J455" s="15">
        <v>453</v>
      </c>
      <c r="K455" s="4">
        <v>-7.2113999999999998E-2</v>
      </c>
      <c r="L455" s="4">
        <v>0.96804199999999996</v>
      </c>
      <c r="M455" s="4">
        <v>0.85438599999999998</v>
      </c>
      <c r="N455" s="4">
        <v>0.51927100000000004</v>
      </c>
      <c r="O455" s="4">
        <v>-0.80088400000000004</v>
      </c>
      <c r="P455" s="4">
        <v>-8.6920999999999998E-2</v>
      </c>
      <c r="Q455" s="4">
        <v>1.042761</v>
      </c>
      <c r="R455" s="4">
        <v>-1.0315129999999999</v>
      </c>
      <c r="S455" s="4">
        <v>-0.25608300000000001</v>
      </c>
      <c r="T455" s="4">
        <v>-0.92351000000000005</v>
      </c>
    </row>
    <row r="456" spans="1:20" ht="18">
      <c r="A456" s="2">
        <f t="shared" si="103"/>
        <v>455</v>
      </c>
      <c r="B456" s="7" t="s">
        <v>1000</v>
      </c>
      <c r="I456" s="15" t="s">
        <v>476</v>
      </c>
      <c r="J456" s="15">
        <v>454</v>
      </c>
      <c r="K456" s="4">
        <v>0.60887999999999998</v>
      </c>
      <c r="L456" s="4">
        <v>0.79652000000000001</v>
      </c>
      <c r="M456" s="4">
        <v>-0.86934500000000003</v>
      </c>
      <c r="N456" s="4">
        <v>0.56666399999999995</v>
      </c>
      <c r="O456" s="4">
        <v>-1.9637020000000001</v>
      </c>
      <c r="P456" s="4">
        <v>1.4197439999999999</v>
      </c>
      <c r="Q456" s="4">
        <v>4.2007999999999997E-2</v>
      </c>
      <c r="R456" s="4">
        <v>1.866752</v>
      </c>
      <c r="S456" s="4">
        <v>0.74449299999999996</v>
      </c>
      <c r="T456" s="4">
        <v>-1.9578040000000001</v>
      </c>
    </row>
    <row r="457" spans="1:20" ht="18">
      <c r="A457" s="2">
        <f t="shared" si="103"/>
        <v>456</v>
      </c>
      <c r="B457" s="7" t="s">
        <v>1001</v>
      </c>
      <c r="I457" s="15" t="s">
        <v>477</v>
      </c>
      <c r="J457" s="15">
        <v>455</v>
      </c>
      <c r="K457" s="4">
        <v>-1.1501030000000001</v>
      </c>
      <c r="L457" s="4">
        <v>-0.82492399999999999</v>
      </c>
      <c r="M457" s="4">
        <v>-1.4431560000000001</v>
      </c>
      <c r="N457" s="4">
        <v>-1.137184</v>
      </c>
      <c r="O457" s="4">
        <v>0.31939499999999998</v>
      </c>
      <c r="P457" s="4">
        <v>1.60684</v>
      </c>
      <c r="Q457" s="4">
        <v>-0.26562400000000003</v>
      </c>
      <c r="R457" s="4">
        <v>-0.81900899999999999</v>
      </c>
      <c r="S457" s="4">
        <v>1.392309</v>
      </c>
      <c r="T457" s="4">
        <v>-0.97771600000000003</v>
      </c>
    </row>
    <row r="458" spans="1:20" ht="18">
      <c r="A458" s="2">
        <f t="shared" si="103"/>
        <v>457</v>
      </c>
      <c r="B458" s="7" t="s">
        <v>1002</v>
      </c>
      <c r="I458" s="15" t="s">
        <v>478</v>
      </c>
      <c r="J458" s="15">
        <v>456</v>
      </c>
      <c r="K458" s="4">
        <v>0.26614100000000002</v>
      </c>
      <c r="L458" s="4">
        <v>-0.33302100000000001</v>
      </c>
      <c r="M458" s="4">
        <v>1.111</v>
      </c>
      <c r="N458" s="4">
        <v>-0.91420800000000002</v>
      </c>
      <c r="O458" s="4">
        <v>1.961624</v>
      </c>
      <c r="P458" s="4">
        <v>-0.30176999999999998</v>
      </c>
      <c r="Q458" s="4">
        <v>0.61983900000000003</v>
      </c>
      <c r="R458" s="4">
        <v>-1.362484</v>
      </c>
      <c r="S458" s="4">
        <v>-0.63737900000000003</v>
      </c>
      <c r="T458" s="4">
        <v>1.2520690000000001</v>
      </c>
    </row>
    <row r="459" spans="1:20" ht="18">
      <c r="A459" s="2">
        <f t="shared" si="103"/>
        <v>458</v>
      </c>
      <c r="B459" s="7" t="s">
        <v>1003</v>
      </c>
      <c r="I459" s="15" t="s">
        <v>479</v>
      </c>
      <c r="J459" s="15">
        <v>457</v>
      </c>
      <c r="K459" s="4">
        <v>-0.51569799999999999</v>
      </c>
      <c r="L459" s="4">
        <v>-0.181866</v>
      </c>
      <c r="M459" s="4">
        <v>0.697577</v>
      </c>
      <c r="N459" s="4">
        <v>-0.76834400000000003</v>
      </c>
      <c r="O459" s="4">
        <v>0.96219500000000002</v>
      </c>
      <c r="P459" s="4">
        <v>8.1410000000000007E-3</v>
      </c>
      <c r="Q459" s="4">
        <v>-1.3655710000000001</v>
      </c>
      <c r="R459" s="4">
        <v>0.22381000000000001</v>
      </c>
      <c r="S459" s="4">
        <v>-0.56426100000000001</v>
      </c>
      <c r="T459" s="4">
        <v>0.884799</v>
      </c>
    </row>
    <row r="460" spans="1:20" ht="18">
      <c r="A460" s="2">
        <f t="shared" si="103"/>
        <v>459</v>
      </c>
      <c r="B460" s="7" t="s">
        <v>1004</v>
      </c>
      <c r="I460" s="15" t="s">
        <v>480</v>
      </c>
      <c r="J460" s="15">
        <v>458</v>
      </c>
      <c r="K460" s="4">
        <v>1.461206</v>
      </c>
      <c r="L460" s="4">
        <v>1.0010920000000001</v>
      </c>
      <c r="M460" s="4">
        <v>-1.410433</v>
      </c>
      <c r="N460" s="4">
        <v>-9.3364000000000003E-2</v>
      </c>
      <c r="O460" s="4">
        <v>-1.093289</v>
      </c>
      <c r="P460" s="4">
        <v>0.40842699999999998</v>
      </c>
      <c r="Q460" s="4">
        <v>0.52183299999999999</v>
      </c>
      <c r="R460" s="4">
        <v>-1.51328</v>
      </c>
      <c r="S460" s="4">
        <v>-1.998839</v>
      </c>
      <c r="T460" s="4">
        <v>8.6285000000000001E-2</v>
      </c>
    </row>
    <row r="461" spans="1:20" ht="18">
      <c r="A461" s="2">
        <f t="shared" si="103"/>
        <v>460</v>
      </c>
      <c r="B461" s="7" t="s">
        <v>1005</v>
      </c>
      <c r="I461" s="15" t="s">
        <v>481</v>
      </c>
      <c r="J461" s="15">
        <v>459</v>
      </c>
      <c r="K461" s="4">
        <v>1.047277</v>
      </c>
      <c r="L461" s="4">
        <v>-0.11959400000000001</v>
      </c>
      <c r="M461" s="4">
        <v>0.67125699999999999</v>
      </c>
      <c r="N461" s="4">
        <v>-0.19293099999999999</v>
      </c>
      <c r="O461" s="4">
        <v>1.1590780000000001</v>
      </c>
      <c r="P461" s="4">
        <v>-0.83356600000000003</v>
      </c>
      <c r="Q461" s="4">
        <v>-0.35043299999999999</v>
      </c>
      <c r="R461" s="4">
        <v>0.38323400000000002</v>
      </c>
      <c r="S461" s="4">
        <v>0.11124100000000001</v>
      </c>
      <c r="T461" s="4">
        <v>-0.91778199999999999</v>
      </c>
    </row>
    <row r="462" spans="1:20" ht="18">
      <c r="A462" s="2">
        <f t="shared" si="103"/>
        <v>461</v>
      </c>
      <c r="B462" s="7" t="s">
        <v>1006</v>
      </c>
      <c r="I462" s="15" t="s">
        <v>482</v>
      </c>
      <c r="J462" s="15">
        <v>460</v>
      </c>
      <c r="K462" s="4">
        <v>0.428894</v>
      </c>
      <c r="L462" s="4">
        <v>-1.9127190000000001</v>
      </c>
      <c r="M462" s="4">
        <v>1.997358</v>
      </c>
      <c r="N462" s="4">
        <v>-0.64621799999999996</v>
      </c>
      <c r="O462" s="4">
        <v>1.2547219999999999</v>
      </c>
      <c r="P462" s="4">
        <v>1.2183759999999999</v>
      </c>
      <c r="Q462" s="4">
        <v>0.24446499999999999</v>
      </c>
      <c r="R462" s="4">
        <v>0.114055</v>
      </c>
      <c r="S462" s="4">
        <v>-1.261145</v>
      </c>
      <c r="T462" s="4">
        <v>-0.54475600000000002</v>
      </c>
    </row>
    <row r="463" spans="1:20" ht="18">
      <c r="A463" s="2">
        <f t="shared" si="103"/>
        <v>462</v>
      </c>
      <c r="B463" s="7" t="s">
        <v>1007</v>
      </c>
      <c r="I463" s="15" t="s">
        <v>483</v>
      </c>
      <c r="J463" s="15">
        <v>461</v>
      </c>
      <c r="K463" s="4">
        <v>-0.506409</v>
      </c>
      <c r="L463" s="4">
        <v>1.7775240000000001</v>
      </c>
      <c r="M463" s="4">
        <v>0.52038499999999999</v>
      </c>
      <c r="N463" s="4">
        <v>-0.40858800000000001</v>
      </c>
      <c r="O463" s="4">
        <v>1.6952039999999999</v>
      </c>
      <c r="P463" s="4">
        <v>-0.71366799999999997</v>
      </c>
      <c r="Q463" s="4">
        <v>2.67448</v>
      </c>
      <c r="R463" s="4">
        <v>1.9189999999999999E-3</v>
      </c>
      <c r="S463" s="4">
        <v>1.9203079999999999</v>
      </c>
      <c r="T463" s="4">
        <v>-2.2113109999999998</v>
      </c>
    </row>
    <row r="464" spans="1:20" ht="18">
      <c r="A464" s="2">
        <f t="shared" si="103"/>
        <v>463</v>
      </c>
      <c r="B464" s="7" t="s">
        <v>1008</v>
      </c>
      <c r="I464" s="15" t="s">
        <v>484</v>
      </c>
      <c r="J464" s="15">
        <v>462</v>
      </c>
      <c r="K464" s="4">
        <v>-0.185615</v>
      </c>
      <c r="L464" s="4">
        <v>0.97051100000000001</v>
      </c>
      <c r="M464" s="4">
        <v>0.37967899999999999</v>
      </c>
      <c r="N464" s="4">
        <v>-0.73761200000000005</v>
      </c>
      <c r="O464" s="4">
        <v>2.2297999999999998E-2</v>
      </c>
      <c r="P464" s="4">
        <v>3.9659E-2</v>
      </c>
      <c r="Q464" s="4">
        <v>-1.2844949999999999</v>
      </c>
      <c r="R464" s="4">
        <v>0.18437999999999999</v>
      </c>
      <c r="S464" s="4">
        <v>-0.26585300000000001</v>
      </c>
      <c r="T464" s="4">
        <v>0.48498000000000002</v>
      </c>
    </row>
    <row r="465" spans="1:20" ht="18">
      <c r="A465" s="2">
        <f t="shared" si="103"/>
        <v>464</v>
      </c>
      <c r="B465" s="7" t="s">
        <v>1009</v>
      </c>
      <c r="I465" s="15" t="s">
        <v>485</v>
      </c>
      <c r="J465" s="15">
        <v>463</v>
      </c>
      <c r="K465" s="4">
        <v>1.355272</v>
      </c>
      <c r="L465" s="4">
        <v>-0.11639099999999999</v>
      </c>
      <c r="M465" s="4">
        <v>0.108194</v>
      </c>
      <c r="N465" s="4">
        <v>0.202598</v>
      </c>
      <c r="O465" s="4">
        <v>-2.8882099999999999</v>
      </c>
      <c r="P465" s="4">
        <v>-1.266235</v>
      </c>
      <c r="Q465" s="4">
        <v>1.027595</v>
      </c>
      <c r="R465" s="4">
        <v>-0.89625100000000002</v>
      </c>
      <c r="S465" s="4">
        <v>-0.57481899999999997</v>
      </c>
      <c r="T465" s="4">
        <v>8.9816000000000007E-2</v>
      </c>
    </row>
    <row r="466" spans="1:20" ht="18">
      <c r="A466" s="2">
        <f t="shared" si="103"/>
        <v>465</v>
      </c>
      <c r="B466" s="7" t="s">
        <v>1010</v>
      </c>
      <c r="I466" s="15" t="s">
        <v>486</v>
      </c>
      <c r="J466" s="15">
        <v>464</v>
      </c>
      <c r="K466" s="4">
        <v>2.337688</v>
      </c>
      <c r="L466" s="4">
        <v>0.61970800000000004</v>
      </c>
      <c r="M466" s="4">
        <v>-0.729383</v>
      </c>
      <c r="N466" s="4">
        <v>-0.92641700000000005</v>
      </c>
      <c r="O466" s="4">
        <v>-1.7142170000000001</v>
      </c>
      <c r="P466" s="4">
        <v>-1.284068</v>
      </c>
      <c r="Q466" s="4">
        <v>1.026797</v>
      </c>
      <c r="R466" s="4">
        <v>5.3512999999999998E-2</v>
      </c>
      <c r="S466" s="4">
        <v>-0.39422099999999999</v>
      </c>
      <c r="T466" s="4">
        <v>-0.92008400000000001</v>
      </c>
    </row>
    <row r="467" spans="1:20" ht="18">
      <c r="A467" s="2">
        <f t="shared" si="103"/>
        <v>466</v>
      </c>
      <c r="B467" s="7" t="s">
        <v>1011</v>
      </c>
      <c r="I467" s="15" t="s">
        <v>487</v>
      </c>
      <c r="J467" s="15">
        <v>465</v>
      </c>
      <c r="K467" s="4">
        <v>-0.91878599999999999</v>
      </c>
      <c r="L467" s="4">
        <v>-0.39578799999999997</v>
      </c>
      <c r="M467" s="4">
        <v>0.448162</v>
      </c>
      <c r="N467" s="4">
        <v>-0.47196900000000003</v>
      </c>
      <c r="O467" s="4">
        <v>0.28111700000000001</v>
      </c>
      <c r="P467" s="4">
        <v>1.7812969999999999</v>
      </c>
      <c r="Q467" s="4">
        <v>1.050759</v>
      </c>
      <c r="R467" s="4">
        <v>1.4070290000000001</v>
      </c>
      <c r="S467" s="4">
        <v>1.07613</v>
      </c>
      <c r="T467" s="4">
        <v>1.2953619999999999</v>
      </c>
    </row>
    <row r="468" spans="1:20" ht="18">
      <c r="A468" s="2">
        <f t="shared" si="103"/>
        <v>467</v>
      </c>
      <c r="B468" s="7" t="s">
        <v>1012</v>
      </c>
      <c r="I468" s="15" t="s">
        <v>488</v>
      </c>
      <c r="J468" s="15">
        <v>466</v>
      </c>
      <c r="K468" s="4">
        <v>-0.34973799999999999</v>
      </c>
      <c r="L468" s="4">
        <v>-0.16081400000000001</v>
      </c>
      <c r="M468" s="4">
        <v>1.338123</v>
      </c>
      <c r="N468" s="4">
        <v>-1.1531469999999999</v>
      </c>
      <c r="O468" s="4">
        <v>-1.2022250000000001</v>
      </c>
      <c r="P468" s="4">
        <v>0.62581699999999996</v>
      </c>
      <c r="Q468" s="4">
        <v>-1.2746299999999999</v>
      </c>
      <c r="R468" s="4">
        <v>-0.205738</v>
      </c>
      <c r="S468" s="4">
        <v>0.26390000000000002</v>
      </c>
      <c r="T468" s="4">
        <v>-0.42835000000000001</v>
      </c>
    </row>
    <row r="469" spans="1:20" ht="18">
      <c r="A469" s="2">
        <f t="shared" si="103"/>
        <v>468</v>
      </c>
      <c r="B469" s="7" t="s">
        <v>1013</v>
      </c>
      <c r="I469" s="15" t="s">
        <v>489</v>
      </c>
      <c r="J469" s="15">
        <v>467</v>
      </c>
      <c r="K469" s="4">
        <v>0.34213300000000002</v>
      </c>
      <c r="L469" s="4">
        <v>-0.162797</v>
      </c>
      <c r="M469" s="4">
        <v>-0.39004899999999998</v>
      </c>
      <c r="N469" s="4">
        <v>-2.0369619999999999</v>
      </c>
      <c r="O469" s="4">
        <v>-0.96343400000000001</v>
      </c>
      <c r="P469" s="4">
        <v>0.44465100000000002</v>
      </c>
      <c r="Q469" s="4">
        <v>0.34708499999999998</v>
      </c>
      <c r="R469" s="4">
        <v>0.77190300000000001</v>
      </c>
      <c r="S469" s="4">
        <v>0.34307100000000001</v>
      </c>
      <c r="T469" s="4">
        <v>-0.25194100000000003</v>
      </c>
    </row>
    <row r="470" spans="1:20" ht="18">
      <c r="A470" s="2">
        <f t="shared" si="103"/>
        <v>469</v>
      </c>
      <c r="B470" s="7" t="s">
        <v>1014</v>
      </c>
      <c r="I470" s="15" t="s">
        <v>490</v>
      </c>
      <c r="J470" s="15">
        <v>468</v>
      </c>
      <c r="K470" s="4">
        <v>0.11253000000000001</v>
      </c>
      <c r="L470" s="4">
        <v>-0.50781799999999999</v>
      </c>
      <c r="M470" s="4">
        <v>-0.50684499999999999</v>
      </c>
      <c r="N470" s="4">
        <v>-3.5518000000000001E-2</v>
      </c>
      <c r="O470" s="4">
        <v>1.4061619999999999</v>
      </c>
      <c r="P470" s="4">
        <v>-0.116297</v>
      </c>
      <c r="Q470" s="4">
        <v>0.24746599999999999</v>
      </c>
      <c r="R470" s="4">
        <v>0.46817900000000001</v>
      </c>
      <c r="S470" s="4">
        <v>0.39848699999999998</v>
      </c>
      <c r="T470" s="4">
        <v>-1.05352</v>
      </c>
    </row>
    <row r="471" spans="1:20" ht="18">
      <c r="A471" s="2">
        <f t="shared" si="103"/>
        <v>470</v>
      </c>
      <c r="B471" s="7" t="s">
        <v>1015</v>
      </c>
      <c r="I471" s="15" t="s">
        <v>491</v>
      </c>
      <c r="J471" s="15">
        <v>469</v>
      </c>
      <c r="K471" s="4">
        <v>0.37798500000000002</v>
      </c>
      <c r="L471" s="4">
        <v>-2.1670219999999998</v>
      </c>
      <c r="M471" s="4">
        <v>-0.64743600000000001</v>
      </c>
      <c r="N471" s="4">
        <v>0.32899400000000001</v>
      </c>
      <c r="O471" s="4">
        <v>0.57962400000000003</v>
      </c>
      <c r="P471" s="4">
        <v>0.32965800000000001</v>
      </c>
      <c r="Q471" s="4">
        <v>-5.6849999999999998E-2</v>
      </c>
      <c r="R471" s="4">
        <v>0.65444800000000003</v>
      </c>
      <c r="S471" s="4">
        <v>0.57291499999999995</v>
      </c>
      <c r="T471" s="4">
        <v>-0.59617900000000001</v>
      </c>
    </row>
    <row r="472" spans="1:20" ht="18">
      <c r="A472" s="2">
        <f t="shared" si="103"/>
        <v>471</v>
      </c>
      <c r="B472" s="7" t="s">
        <v>1016</v>
      </c>
      <c r="I472" s="15" t="s">
        <v>492</v>
      </c>
      <c r="J472" s="15">
        <v>470</v>
      </c>
      <c r="K472" s="4">
        <v>0.26265100000000002</v>
      </c>
      <c r="L472" s="4">
        <v>-0.18703900000000001</v>
      </c>
      <c r="M472" s="4">
        <v>0.37851200000000002</v>
      </c>
      <c r="N472" s="4">
        <v>-0.233181</v>
      </c>
      <c r="O472" s="4">
        <v>-0.58560599999999996</v>
      </c>
      <c r="P472" s="4">
        <v>6.4449000000000006E-2</v>
      </c>
      <c r="Q472" s="4">
        <v>-0.15490499999999999</v>
      </c>
      <c r="R472" s="4">
        <v>-0.96342499999999998</v>
      </c>
      <c r="S472" s="4">
        <v>0.12928700000000001</v>
      </c>
      <c r="T472" s="4">
        <v>0.81188899999999997</v>
      </c>
    </row>
    <row r="473" spans="1:20" ht="18">
      <c r="A473" s="2">
        <f t="shared" si="103"/>
        <v>472</v>
      </c>
      <c r="B473" s="7" t="s">
        <v>1017</v>
      </c>
      <c r="I473" s="15" t="s">
        <v>493</v>
      </c>
      <c r="J473" s="15">
        <v>471</v>
      </c>
      <c r="K473" s="4">
        <v>0.60907699999999998</v>
      </c>
      <c r="L473" s="4">
        <v>-0.53141700000000003</v>
      </c>
      <c r="M473" s="4">
        <v>-0.86898600000000004</v>
      </c>
      <c r="N473" s="4">
        <v>-0.18404999999999999</v>
      </c>
      <c r="O473" s="4">
        <v>0.32629200000000003</v>
      </c>
      <c r="P473" s="4">
        <v>0.84418199999999999</v>
      </c>
      <c r="Q473" s="4">
        <v>-1.1029439999999999</v>
      </c>
      <c r="R473" s="4">
        <v>-1.921745</v>
      </c>
      <c r="S473" s="4">
        <v>5.5940999999999998E-2</v>
      </c>
      <c r="T473" s="4">
        <v>-0.359101</v>
      </c>
    </row>
    <row r="474" spans="1:20" ht="18">
      <c r="A474" s="2">
        <f t="shared" si="103"/>
        <v>473</v>
      </c>
      <c r="B474" s="7" t="s">
        <v>1018</v>
      </c>
      <c r="I474" s="15" t="s">
        <v>494</v>
      </c>
      <c r="J474" s="15">
        <v>472</v>
      </c>
      <c r="K474" s="4">
        <v>0.61044100000000001</v>
      </c>
      <c r="L474" s="4">
        <v>-1.051315</v>
      </c>
      <c r="M474" s="4">
        <v>-0.479736</v>
      </c>
      <c r="N474" s="4">
        <v>1.225541</v>
      </c>
      <c r="O474" s="4">
        <v>-1.3795660000000001</v>
      </c>
      <c r="P474" s="4">
        <v>-0.46367399999999998</v>
      </c>
      <c r="Q474" s="4">
        <v>1.1201460000000001</v>
      </c>
      <c r="R474" s="4">
        <v>-0.48955599999999999</v>
      </c>
      <c r="S474" s="4">
        <v>-1.940847</v>
      </c>
      <c r="T474" s="4">
        <v>-1.5983909999999999</v>
      </c>
    </row>
    <row r="475" spans="1:20" ht="18">
      <c r="A475" s="2">
        <f t="shared" si="103"/>
        <v>474</v>
      </c>
      <c r="B475" s="7" t="s">
        <v>1019</v>
      </c>
      <c r="I475" s="15" t="s">
        <v>495</v>
      </c>
      <c r="J475" s="15">
        <v>473</v>
      </c>
      <c r="K475" s="4">
        <v>1.540832</v>
      </c>
      <c r="L475" s="4">
        <v>-1.225873</v>
      </c>
      <c r="M475" s="4">
        <v>-1.710337</v>
      </c>
      <c r="N475" s="4">
        <v>0.90455300000000005</v>
      </c>
      <c r="O475" s="4">
        <v>-0.84395699999999996</v>
      </c>
      <c r="P475" s="4">
        <v>0.55828999999999995</v>
      </c>
      <c r="Q475" s="4">
        <v>-0.51934199999999997</v>
      </c>
      <c r="R475" s="4">
        <v>0.60294099999999995</v>
      </c>
      <c r="S475" s="4">
        <v>-0.84197200000000005</v>
      </c>
      <c r="T475" s="4">
        <v>1.7112510000000001</v>
      </c>
    </row>
    <row r="476" spans="1:20" ht="18">
      <c r="A476" s="2">
        <f t="shared" si="103"/>
        <v>475</v>
      </c>
      <c r="B476" s="7" t="s">
        <v>1020</v>
      </c>
      <c r="I476" s="15" t="s">
        <v>496</v>
      </c>
      <c r="J476" s="15">
        <v>474</v>
      </c>
      <c r="K476" s="4">
        <v>-2.2300599999999999</v>
      </c>
      <c r="L476" s="4">
        <v>-0.39730700000000002</v>
      </c>
      <c r="M476" s="4">
        <v>6.2586000000000003E-2</v>
      </c>
      <c r="N476" s="4">
        <v>-1.401248</v>
      </c>
      <c r="O476" s="4">
        <v>-0.204149</v>
      </c>
      <c r="P476" s="4">
        <v>-0.98350899999999997</v>
      </c>
      <c r="Q476" s="4">
        <v>-1.293356</v>
      </c>
      <c r="R476" s="4">
        <v>1.0253369999999999</v>
      </c>
      <c r="S476" s="4">
        <v>1.555933</v>
      </c>
      <c r="T476" s="4">
        <v>-0.18223500000000001</v>
      </c>
    </row>
    <row r="477" spans="1:20" ht="18">
      <c r="A477" s="2">
        <f t="shared" si="103"/>
        <v>476</v>
      </c>
      <c r="B477" s="7" t="s">
        <v>1021</v>
      </c>
      <c r="I477" s="15" t="s">
        <v>497</v>
      </c>
      <c r="J477" s="15">
        <v>475</v>
      </c>
      <c r="K477" s="4">
        <v>0.83663200000000004</v>
      </c>
      <c r="L477" s="4">
        <v>1.33226</v>
      </c>
      <c r="M477" s="4">
        <v>0.106727</v>
      </c>
      <c r="N477" s="4">
        <v>1.376797</v>
      </c>
      <c r="O477" s="4">
        <v>6.8144999999999997E-2</v>
      </c>
      <c r="P477" s="4">
        <v>-0.44602799999999998</v>
      </c>
      <c r="Q477" s="4">
        <v>-1.34466</v>
      </c>
      <c r="R477" s="4">
        <v>-0.819133</v>
      </c>
      <c r="S477" s="4">
        <v>-1.2526440000000001</v>
      </c>
      <c r="T477" s="4">
        <v>-0.35275299999999998</v>
      </c>
    </row>
    <row r="478" spans="1:20" ht="18">
      <c r="A478" s="2">
        <f t="shared" si="103"/>
        <v>477</v>
      </c>
      <c r="B478" s="7" t="s">
        <v>1022</v>
      </c>
      <c r="I478" s="15" t="s">
        <v>498</v>
      </c>
      <c r="J478" s="15">
        <v>476</v>
      </c>
      <c r="K478" s="4">
        <v>0.909022</v>
      </c>
      <c r="L478" s="4">
        <v>-0.26202500000000001</v>
      </c>
      <c r="M478" s="4">
        <v>0.75342100000000001</v>
      </c>
      <c r="N478" s="4">
        <v>-0.13938200000000001</v>
      </c>
      <c r="O478" s="4">
        <v>-1.449864</v>
      </c>
      <c r="P478" s="4">
        <v>0.131998</v>
      </c>
      <c r="Q478" s="4">
        <v>-1.420302</v>
      </c>
      <c r="R478" s="4">
        <v>1.132987</v>
      </c>
      <c r="S478" s="4">
        <v>-1.2967169999999999</v>
      </c>
      <c r="T478" s="4">
        <v>-0.97469899999999998</v>
      </c>
    </row>
    <row r="479" spans="1:20" ht="18">
      <c r="A479" s="2">
        <f t="shared" si="103"/>
        <v>478</v>
      </c>
      <c r="B479" s="7" t="s">
        <v>1023</v>
      </c>
      <c r="I479" s="15" t="s">
        <v>499</v>
      </c>
      <c r="J479" s="15">
        <v>477</v>
      </c>
      <c r="K479" s="4">
        <v>1.040862</v>
      </c>
      <c r="L479" s="4">
        <v>1.1865829999999999</v>
      </c>
      <c r="M479" s="4">
        <v>-0.67542599999999997</v>
      </c>
      <c r="N479" s="4">
        <v>-0.122475</v>
      </c>
      <c r="O479" s="4">
        <v>-0.33949299999999999</v>
      </c>
      <c r="P479" s="4">
        <v>-0.126555</v>
      </c>
      <c r="Q479" s="4">
        <v>-0.425398</v>
      </c>
      <c r="R479" s="4">
        <v>-0.64990599999999998</v>
      </c>
      <c r="S479" s="4">
        <v>0.88264799999999999</v>
      </c>
      <c r="T479" s="4">
        <v>-0.63146100000000005</v>
      </c>
    </row>
    <row r="480" spans="1:20" ht="18">
      <c r="A480" s="2">
        <f t="shared" si="103"/>
        <v>479</v>
      </c>
      <c r="B480" s="7" t="s">
        <v>1024</v>
      </c>
      <c r="I480" s="15" t="s">
        <v>500</v>
      </c>
      <c r="J480" s="15">
        <v>478</v>
      </c>
      <c r="K480" s="4">
        <v>-0.97273500000000002</v>
      </c>
      <c r="L480" s="4">
        <v>-2.2231890000000001</v>
      </c>
      <c r="M480" s="4">
        <v>-1.0147699999999999</v>
      </c>
      <c r="N480" s="4">
        <v>6.3239999999999998E-3</v>
      </c>
      <c r="O480" s="4">
        <v>-1.4610190000000001</v>
      </c>
      <c r="P480" s="4">
        <v>-0.29236099999999998</v>
      </c>
      <c r="Q480" s="4">
        <v>1.5487059999999999</v>
      </c>
      <c r="R480" s="4">
        <v>-1.028556</v>
      </c>
      <c r="S480" s="4">
        <v>0.17561199999999999</v>
      </c>
      <c r="T480" s="4">
        <v>-1.16235</v>
      </c>
    </row>
    <row r="481" spans="1:20" ht="18">
      <c r="A481" s="2">
        <f t="shared" si="103"/>
        <v>480</v>
      </c>
      <c r="B481" s="7" t="s">
        <v>1025</v>
      </c>
      <c r="I481" s="15" t="s">
        <v>501</v>
      </c>
      <c r="J481" s="15">
        <v>479</v>
      </c>
      <c r="K481" s="4">
        <v>-0.411885</v>
      </c>
      <c r="L481" s="4">
        <v>0.21348400000000001</v>
      </c>
      <c r="M481" s="4">
        <v>-0.43359399999999998</v>
      </c>
      <c r="N481" s="4">
        <v>-0.55645999999999995</v>
      </c>
      <c r="O481" s="4">
        <v>4.9058999999999998E-2</v>
      </c>
      <c r="P481" s="4">
        <v>0.39400600000000002</v>
      </c>
      <c r="Q481" s="4">
        <v>4.2025E-2</v>
      </c>
      <c r="R481" s="4">
        <v>-0.27456799999999998</v>
      </c>
      <c r="S481" s="4">
        <v>-0.52508900000000003</v>
      </c>
      <c r="T481" s="4">
        <v>-0.106753</v>
      </c>
    </row>
    <row r="482" spans="1:20" ht="18">
      <c r="A482" s="2">
        <f t="shared" si="103"/>
        <v>481</v>
      </c>
      <c r="B482" s="7" t="s">
        <v>1026</v>
      </c>
      <c r="I482" s="15" t="s">
        <v>502</v>
      </c>
      <c r="J482" s="15">
        <v>480</v>
      </c>
      <c r="K482" s="4">
        <v>-0.68979800000000002</v>
      </c>
      <c r="L482" s="4">
        <v>-0.18013000000000001</v>
      </c>
      <c r="M482" s="4">
        <v>1.550548</v>
      </c>
      <c r="N482" s="4">
        <v>-0.97905799999999998</v>
      </c>
      <c r="O482" s="4">
        <v>1.9096979999999999</v>
      </c>
      <c r="P482" s="4">
        <v>1.108107</v>
      </c>
      <c r="Q482" s="4">
        <v>-0.100455</v>
      </c>
      <c r="R482" s="4">
        <v>1.1697500000000001</v>
      </c>
      <c r="S482" s="4">
        <v>0.119645</v>
      </c>
      <c r="T482" s="4">
        <v>-0.12509500000000001</v>
      </c>
    </row>
    <row r="483" spans="1:20" ht="18">
      <c r="A483" s="2">
        <f t="shared" si="103"/>
        <v>482</v>
      </c>
      <c r="B483" s="7" t="s">
        <v>1027</v>
      </c>
      <c r="I483" s="15" t="s">
        <v>503</v>
      </c>
      <c r="J483" s="15">
        <v>481</v>
      </c>
      <c r="K483" s="4">
        <v>0.96445099999999995</v>
      </c>
      <c r="L483" s="4">
        <v>-1.153089</v>
      </c>
      <c r="M483" s="4">
        <v>-0.73789800000000005</v>
      </c>
      <c r="N483" s="4">
        <v>-0.71469400000000005</v>
      </c>
      <c r="O483" s="4">
        <v>-0.74467899999999998</v>
      </c>
      <c r="P483" s="4">
        <v>-0.36313899999999999</v>
      </c>
      <c r="Q483" s="4">
        <v>0.15115300000000001</v>
      </c>
      <c r="R483" s="4">
        <v>-0.12400700000000001</v>
      </c>
      <c r="S483" s="4">
        <v>-4.7260000000000003E-2</v>
      </c>
      <c r="T483" s="4">
        <v>-2.0230929999999998</v>
      </c>
    </row>
    <row r="484" spans="1:20" ht="18">
      <c r="A484" s="2">
        <f t="shared" si="103"/>
        <v>483</v>
      </c>
      <c r="B484" s="7" t="s">
        <v>1028</v>
      </c>
      <c r="I484" s="15" t="s">
        <v>504</v>
      </c>
      <c r="J484" s="15">
        <v>482</v>
      </c>
      <c r="K484" s="4">
        <v>-0.63943499999999998</v>
      </c>
      <c r="L484" s="4">
        <v>1.325793</v>
      </c>
      <c r="M484" s="4">
        <v>-0.121855</v>
      </c>
      <c r="N484" s="4">
        <v>-0.53717800000000004</v>
      </c>
      <c r="O484" s="4">
        <v>1.3446819999999999</v>
      </c>
      <c r="P484" s="4">
        <v>0.51862699999999995</v>
      </c>
      <c r="Q484" s="4">
        <v>1.3211740000000001</v>
      </c>
      <c r="R484" s="4">
        <v>-1.5688439999999999</v>
      </c>
      <c r="S484" s="4">
        <v>0.63074200000000002</v>
      </c>
      <c r="T484" s="4">
        <v>0.113645</v>
      </c>
    </row>
    <row r="485" spans="1:20" ht="18">
      <c r="A485" s="2">
        <f t="shared" si="103"/>
        <v>484</v>
      </c>
      <c r="B485" s="7" t="s">
        <v>1029</v>
      </c>
      <c r="I485" s="15" t="s">
        <v>505</v>
      </c>
      <c r="J485" s="15">
        <v>483</v>
      </c>
      <c r="K485" s="4">
        <v>-0.41171099999999999</v>
      </c>
      <c r="L485" s="4">
        <v>0.28907699999999997</v>
      </c>
      <c r="M485" s="4">
        <v>-1.2545569999999999</v>
      </c>
      <c r="N485" s="4">
        <v>-1.399573</v>
      </c>
      <c r="O485" s="4">
        <v>-0.25109799999999999</v>
      </c>
      <c r="P485" s="4">
        <v>1.829007</v>
      </c>
      <c r="Q485" s="4">
        <v>0.34529399999999999</v>
      </c>
      <c r="R485" s="4">
        <v>-0.82229099999999999</v>
      </c>
      <c r="S485" s="4">
        <v>-1.1794500000000001</v>
      </c>
      <c r="T485" s="4">
        <v>0.41442200000000001</v>
      </c>
    </row>
    <row r="486" spans="1:20" ht="18">
      <c r="A486" s="2">
        <f t="shared" si="103"/>
        <v>485</v>
      </c>
      <c r="B486" s="7" t="s">
        <v>1030</v>
      </c>
      <c r="I486" s="15" t="s">
        <v>506</v>
      </c>
      <c r="J486" s="15">
        <v>484</v>
      </c>
      <c r="K486" s="4">
        <v>-2.7522000000000001E-2</v>
      </c>
      <c r="L486" s="4">
        <v>1.236704</v>
      </c>
      <c r="M486" s="4">
        <v>1.023647</v>
      </c>
      <c r="N486" s="4">
        <v>-0.17188800000000001</v>
      </c>
      <c r="O486" s="4">
        <v>-0.38256000000000001</v>
      </c>
      <c r="P486" s="4">
        <v>2.5853609999999998</v>
      </c>
      <c r="Q486" s="4">
        <v>-7.5199999999999998E-3</v>
      </c>
      <c r="R486" s="4">
        <v>-0.98236500000000004</v>
      </c>
      <c r="S486" s="4">
        <v>-1.344751</v>
      </c>
      <c r="T486" s="4">
        <v>-0.55877500000000002</v>
      </c>
    </row>
    <row r="487" spans="1:20" ht="18">
      <c r="A487" s="2">
        <f t="shared" si="103"/>
        <v>486</v>
      </c>
      <c r="B487" s="7" t="s">
        <v>1031</v>
      </c>
      <c r="I487" s="15" t="s">
        <v>507</v>
      </c>
      <c r="J487" s="15">
        <v>485</v>
      </c>
      <c r="K487" s="4">
        <v>-2.317034</v>
      </c>
      <c r="L487" s="4">
        <v>1.6651929999999999</v>
      </c>
      <c r="M487" s="4">
        <v>0.257322</v>
      </c>
      <c r="N487" s="4">
        <v>0.51504099999999997</v>
      </c>
      <c r="O487" s="4">
        <v>-1.385419</v>
      </c>
      <c r="P487" s="4">
        <v>1.166188</v>
      </c>
      <c r="Q487" s="4">
        <v>0.461588</v>
      </c>
      <c r="R487" s="4">
        <v>-0.63328300000000004</v>
      </c>
      <c r="S487" s="4">
        <v>-1.3853679999999999</v>
      </c>
      <c r="T487" s="4">
        <v>0.73976900000000001</v>
      </c>
    </row>
    <row r="488" spans="1:20" ht="18">
      <c r="A488" s="2">
        <f t="shared" si="103"/>
        <v>487</v>
      </c>
      <c r="B488" s="7" t="s">
        <v>1032</v>
      </c>
      <c r="I488" s="15" t="s">
        <v>508</v>
      </c>
      <c r="J488" s="15">
        <v>486</v>
      </c>
      <c r="K488" s="4">
        <v>4.0832E-2</v>
      </c>
      <c r="L488" s="4">
        <v>0.17538000000000001</v>
      </c>
      <c r="M488" s="4">
        <v>0.28543299999999999</v>
      </c>
      <c r="N488" s="4">
        <v>-0.108337</v>
      </c>
      <c r="O488" s="4">
        <v>0.90535200000000005</v>
      </c>
      <c r="P488" s="4">
        <v>0.73953199999999997</v>
      </c>
      <c r="Q488" s="4">
        <v>0.51810400000000001</v>
      </c>
      <c r="R488" s="4">
        <v>-0.27312199999999998</v>
      </c>
      <c r="S488" s="4">
        <v>1.0572839999999999</v>
      </c>
      <c r="T488" s="4">
        <v>-1.382576</v>
      </c>
    </row>
    <row r="489" spans="1:20" ht="18">
      <c r="A489" s="2">
        <f t="shared" si="103"/>
        <v>488</v>
      </c>
      <c r="B489" s="7" t="s">
        <v>1033</v>
      </c>
      <c r="I489" s="15" t="s">
        <v>509</v>
      </c>
      <c r="J489" s="15">
        <v>487</v>
      </c>
      <c r="K489" s="4">
        <v>-0.34424100000000002</v>
      </c>
      <c r="L489" s="4">
        <v>-0.80445</v>
      </c>
      <c r="M489" s="4">
        <v>-0.79958700000000005</v>
      </c>
      <c r="N489" s="4">
        <v>0.17103399999999999</v>
      </c>
      <c r="O489" s="4">
        <v>-1.014626</v>
      </c>
      <c r="P489" s="4">
        <v>-0.342802</v>
      </c>
      <c r="Q489" s="4">
        <v>2.124269</v>
      </c>
      <c r="R489" s="4">
        <v>1.627232</v>
      </c>
      <c r="S489" s="4">
        <v>1.236259</v>
      </c>
      <c r="T489" s="4">
        <v>0.95793700000000004</v>
      </c>
    </row>
    <row r="490" spans="1:20" ht="18">
      <c r="A490" s="2">
        <f t="shared" si="103"/>
        <v>489</v>
      </c>
      <c r="B490" s="7" t="s">
        <v>1034</v>
      </c>
      <c r="I490" s="15" t="s">
        <v>510</v>
      </c>
      <c r="J490" s="15">
        <v>488</v>
      </c>
      <c r="K490" s="4">
        <v>-0.17826400000000001</v>
      </c>
      <c r="L490" s="4">
        <v>-0.81633900000000004</v>
      </c>
      <c r="M490" s="4">
        <v>-1.403351</v>
      </c>
      <c r="N490" s="4">
        <v>-0.847221</v>
      </c>
      <c r="O490" s="4">
        <v>-2.0554890000000001</v>
      </c>
      <c r="P490" s="4">
        <v>-0.208067</v>
      </c>
      <c r="Q490" s="4">
        <v>1.021981</v>
      </c>
      <c r="R490" s="4">
        <v>0.27307399999999998</v>
      </c>
      <c r="S490" s="4">
        <v>-0.88620100000000002</v>
      </c>
      <c r="T490" s="4">
        <v>-1.732464</v>
      </c>
    </row>
    <row r="491" spans="1:20" ht="18">
      <c r="A491" s="2">
        <f t="shared" si="103"/>
        <v>490</v>
      </c>
      <c r="B491" s="7" t="s">
        <v>1035</v>
      </c>
      <c r="I491" s="15" t="s">
        <v>511</v>
      </c>
      <c r="J491" s="15">
        <v>489</v>
      </c>
      <c r="K491" s="4">
        <v>-0.353717</v>
      </c>
      <c r="L491" s="4">
        <v>-0.55908599999999997</v>
      </c>
      <c r="M491" s="4">
        <v>0.17647499999999999</v>
      </c>
      <c r="N491" s="4">
        <v>-0.86432399999999998</v>
      </c>
      <c r="O491" s="4">
        <v>-0.52311099999999999</v>
      </c>
      <c r="P491" s="4">
        <v>0.41323300000000002</v>
      </c>
      <c r="Q491" s="4">
        <v>-0.59348400000000001</v>
      </c>
      <c r="R491" s="4">
        <v>-0.17955699999999999</v>
      </c>
      <c r="S491" s="4">
        <v>0.43608400000000003</v>
      </c>
      <c r="T491" s="4">
        <v>0.144093</v>
      </c>
    </row>
    <row r="492" spans="1:20" ht="18">
      <c r="A492" s="2">
        <f t="shared" si="103"/>
        <v>491</v>
      </c>
      <c r="B492" s="7" t="s">
        <v>1036</v>
      </c>
      <c r="I492" s="15" t="s">
        <v>512</v>
      </c>
      <c r="J492" s="15">
        <v>490</v>
      </c>
      <c r="K492" s="4">
        <v>-0.24043</v>
      </c>
      <c r="L492" s="4">
        <v>-0.79839000000000004</v>
      </c>
      <c r="M492" s="4">
        <v>1.252381</v>
      </c>
      <c r="N492" s="4">
        <v>-0.12546199999999999</v>
      </c>
      <c r="O492" s="4">
        <v>-1.134037</v>
      </c>
      <c r="P492" s="4">
        <v>-0.64644000000000001</v>
      </c>
      <c r="Q492" s="4">
        <v>-0.65246400000000004</v>
      </c>
      <c r="R492" s="4">
        <v>3.4299999999999997E-2</v>
      </c>
      <c r="S492" s="4">
        <v>0.31408999999999998</v>
      </c>
      <c r="T492" s="4">
        <v>0.89686200000000005</v>
      </c>
    </row>
    <row r="493" spans="1:20" ht="18">
      <c r="A493" s="2">
        <f t="shared" si="103"/>
        <v>492</v>
      </c>
      <c r="B493" s="7" t="s">
        <v>1037</v>
      </c>
      <c r="I493" s="15" t="s">
        <v>513</v>
      </c>
      <c r="J493" s="15">
        <v>491</v>
      </c>
      <c r="K493" s="4">
        <v>-1.4316899999999999</v>
      </c>
      <c r="L493" s="4">
        <v>-0.91582600000000003</v>
      </c>
      <c r="M493" s="4">
        <v>-0.35809299999999999</v>
      </c>
      <c r="N493" s="4">
        <v>0.37129000000000001</v>
      </c>
      <c r="O493" s="4">
        <v>-1.0075540000000001</v>
      </c>
      <c r="P493" s="4">
        <v>-0.69101800000000002</v>
      </c>
      <c r="Q493" s="4">
        <v>-1.1202209999999999</v>
      </c>
      <c r="R493" s="4">
        <v>0.17566100000000001</v>
      </c>
      <c r="S493" s="4">
        <v>-0.82133900000000004</v>
      </c>
      <c r="T493" s="4">
        <v>1.9914000000000001</v>
      </c>
    </row>
    <row r="494" spans="1:20" ht="18">
      <c r="A494" s="2">
        <f t="shared" si="103"/>
        <v>493</v>
      </c>
      <c r="B494" s="7" t="s">
        <v>1038</v>
      </c>
      <c r="I494" s="15" t="s">
        <v>514</v>
      </c>
      <c r="J494" s="15">
        <v>492</v>
      </c>
      <c r="K494" s="4">
        <v>1.426925</v>
      </c>
      <c r="L494" s="4">
        <v>-6.2606999999999996E-2</v>
      </c>
      <c r="M494" s="4">
        <v>0.65699300000000005</v>
      </c>
      <c r="N494" s="4">
        <v>6.5965999999999997E-2</v>
      </c>
      <c r="O494" s="4">
        <v>-1.9777309999999999</v>
      </c>
      <c r="P494" s="4">
        <v>0.97797999999999996</v>
      </c>
      <c r="Q494" s="4">
        <v>2.1289340000000001</v>
      </c>
      <c r="R494" s="4">
        <v>-0.52065700000000004</v>
      </c>
      <c r="S494" s="4">
        <v>-0.40281800000000001</v>
      </c>
      <c r="T494" s="4">
        <v>-1.1749449999999999</v>
      </c>
    </row>
    <row r="495" spans="1:20" ht="18">
      <c r="A495" s="2">
        <f t="shared" si="103"/>
        <v>494</v>
      </c>
      <c r="B495" s="7" t="s">
        <v>1039</v>
      </c>
      <c r="I495" s="15" t="s">
        <v>515</v>
      </c>
      <c r="J495" s="15">
        <v>493</v>
      </c>
      <c r="K495" s="4">
        <v>8.2182000000000005E-2</v>
      </c>
      <c r="L495" s="4">
        <v>-9.0357000000000007E-2</v>
      </c>
      <c r="M495" s="4">
        <v>-0.562662</v>
      </c>
      <c r="N495" s="4">
        <v>-1.4922359999999999</v>
      </c>
      <c r="O495" s="4">
        <v>1.05592</v>
      </c>
      <c r="P495" s="4">
        <v>0.11193</v>
      </c>
      <c r="Q495" s="4">
        <v>1.362339</v>
      </c>
      <c r="R495" s="4">
        <v>0.306836</v>
      </c>
      <c r="S495" s="4">
        <v>-0.70883099999999999</v>
      </c>
      <c r="T495" s="4">
        <v>-0.79348200000000002</v>
      </c>
    </row>
    <row r="496" spans="1:20" ht="18">
      <c r="A496" s="2">
        <f t="shared" si="103"/>
        <v>495</v>
      </c>
      <c r="B496" s="7" t="s">
        <v>1040</v>
      </c>
      <c r="I496" s="15" t="s">
        <v>516</v>
      </c>
      <c r="J496" s="15">
        <v>494</v>
      </c>
      <c r="K496" s="4">
        <v>-0.89194700000000005</v>
      </c>
      <c r="L496" s="4">
        <v>-0.30630299999999999</v>
      </c>
      <c r="M496" s="4">
        <v>1.013765</v>
      </c>
      <c r="N496" s="4">
        <v>0.30601200000000001</v>
      </c>
      <c r="O496" s="4">
        <v>-9.5564999999999997E-2</v>
      </c>
      <c r="P496" s="4">
        <v>-0.281638</v>
      </c>
      <c r="Q496" s="4">
        <v>1.3157270000000001</v>
      </c>
      <c r="R496" s="4">
        <v>1.468439</v>
      </c>
      <c r="S496" s="4">
        <v>-0.24631500000000001</v>
      </c>
      <c r="T496" s="4">
        <v>1.0396289999999999</v>
      </c>
    </row>
    <row r="497" spans="1:20" ht="18">
      <c r="A497" s="2">
        <f t="shared" si="103"/>
        <v>496</v>
      </c>
      <c r="B497" s="7" t="s">
        <v>1041</v>
      </c>
      <c r="I497" s="15" t="s">
        <v>517</v>
      </c>
      <c r="J497" s="15">
        <v>495</v>
      </c>
      <c r="K497" s="4">
        <v>-1.02756</v>
      </c>
      <c r="L497" s="4">
        <v>-0.35053899999999999</v>
      </c>
      <c r="M497" s="4">
        <v>6.2496999999999997E-2</v>
      </c>
      <c r="N497" s="4">
        <v>0.79742199999999996</v>
      </c>
      <c r="O497" s="4">
        <v>0.38536300000000001</v>
      </c>
      <c r="P497" s="4">
        <v>0.80426200000000003</v>
      </c>
      <c r="Q497" s="4">
        <v>-0.38395200000000002</v>
      </c>
      <c r="R497" s="4">
        <v>0.17621000000000001</v>
      </c>
      <c r="S497" s="4">
        <v>0.98577199999999998</v>
      </c>
      <c r="T497" s="4">
        <v>-2.3344E-2</v>
      </c>
    </row>
    <row r="498" spans="1:20" ht="18">
      <c r="A498" s="2">
        <f t="shared" si="103"/>
        <v>497</v>
      </c>
      <c r="B498" s="7" t="s">
        <v>1042</v>
      </c>
      <c r="I498" s="15" t="s">
        <v>518</v>
      </c>
      <c r="J498" s="15">
        <v>496</v>
      </c>
      <c r="K498" s="4">
        <v>0.98300500000000002</v>
      </c>
      <c r="L498" s="4">
        <v>-2.0667420000000001</v>
      </c>
      <c r="M498" s="4">
        <v>-1.195373</v>
      </c>
      <c r="N498" s="4">
        <v>0.63002899999999995</v>
      </c>
      <c r="O498" s="4">
        <v>-0.73433199999999998</v>
      </c>
      <c r="P498" s="4">
        <v>0.90761099999999995</v>
      </c>
      <c r="Q498" s="4">
        <v>-1.5835349999999999</v>
      </c>
      <c r="R498" s="4">
        <v>0.56686599999999998</v>
      </c>
      <c r="S498" s="4">
        <v>2.2215669999999998</v>
      </c>
      <c r="T498" s="4">
        <v>0.69755900000000004</v>
      </c>
    </row>
    <row r="499" spans="1:20" ht="18">
      <c r="A499" s="2">
        <f t="shared" si="103"/>
        <v>498</v>
      </c>
      <c r="B499" s="7" t="s">
        <v>1043</v>
      </c>
      <c r="I499" s="15" t="s">
        <v>519</v>
      </c>
      <c r="J499" s="15">
        <v>497</v>
      </c>
      <c r="K499" s="4">
        <v>0.37961499999999998</v>
      </c>
      <c r="L499" s="4">
        <v>-0.457957</v>
      </c>
      <c r="M499" s="4">
        <v>0.93747899999999995</v>
      </c>
      <c r="N499" s="4">
        <v>-0.141176</v>
      </c>
      <c r="O499" s="4">
        <v>1.042456</v>
      </c>
      <c r="P499" s="4">
        <v>2.0891120000000001</v>
      </c>
      <c r="Q499" s="4">
        <v>0.19758600000000001</v>
      </c>
      <c r="R499" s="4">
        <v>2.0047429999999999</v>
      </c>
      <c r="S499" s="4">
        <v>-0.95708899999999997</v>
      </c>
      <c r="T499" s="4">
        <v>-0.75441400000000003</v>
      </c>
    </row>
    <row r="500" spans="1:20" ht="18">
      <c r="A500" s="2">
        <f t="shared" si="103"/>
        <v>499</v>
      </c>
      <c r="B500" s="7" t="s">
        <v>1044</v>
      </c>
      <c r="I500" s="15" t="s">
        <v>520</v>
      </c>
      <c r="J500" s="15">
        <v>498</v>
      </c>
      <c r="K500" s="4">
        <v>0.43170700000000001</v>
      </c>
      <c r="L500" s="4">
        <v>-0.264434</v>
      </c>
      <c r="M500" s="4">
        <v>-0.45294200000000001</v>
      </c>
      <c r="N500" s="4">
        <v>0.94937800000000006</v>
      </c>
      <c r="O500" s="4">
        <v>-8.0769999999999995E-2</v>
      </c>
      <c r="P500" s="4">
        <v>2.234505</v>
      </c>
      <c r="Q500" s="4">
        <v>1.4276679999999999</v>
      </c>
      <c r="R500" s="4">
        <v>-1.4779629999999999</v>
      </c>
      <c r="S500" s="4">
        <v>0.41560599999999998</v>
      </c>
      <c r="T500" s="4">
        <v>1.6613500000000001</v>
      </c>
    </row>
    <row r="501" spans="1:20" ht="18">
      <c r="A501" s="2">
        <f t="shared" si="103"/>
        <v>500</v>
      </c>
      <c r="B501" s="7" t="s">
        <v>1045</v>
      </c>
      <c r="I501" s="15" t="s">
        <v>521</v>
      </c>
      <c r="J501" s="15">
        <v>499</v>
      </c>
      <c r="K501" s="4">
        <v>-1.940693</v>
      </c>
      <c r="L501" s="4">
        <v>2.1777869999999999</v>
      </c>
      <c r="M501" s="4">
        <v>-2.8932929999999999</v>
      </c>
      <c r="N501" s="4">
        <v>0.32723999999999998</v>
      </c>
      <c r="O501" s="4">
        <v>0.279777</v>
      </c>
      <c r="P501" s="4">
        <v>6.4661999999999997E-2</v>
      </c>
      <c r="Q501" s="4">
        <v>0.857761</v>
      </c>
      <c r="R501" s="4">
        <v>-1.3528249999999999</v>
      </c>
      <c r="S501" s="4">
        <v>-0.42538599999999999</v>
      </c>
      <c r="T501" s="4">
        <v>0.359823</v>
      </c>
    </row>
    <row r="502" spans="1:20" ht="18">
      <c r="A502" s="2">
        <f t="shared" si="103"/>
        <v>501</v>
      </c>
      <c r="B502" s="7" t="s">
        <v>1046</v>
      </c>
      <c r="I502" s="15" t="s">
        <v>522</v>
      </c>
      <c r="J502" s="15">
        <v>500</v>
      </c>
      <c r="K502" s="4">
        <v>-1.4629650000000001</v>
      </c>
      <c r="L502" s="4">
        <v>0.85913899999999999</v>
      </c>
      <c r="M502" s="4">
        <v>1.5845629999999999</v>
      </c>
      <c r="N502" s="4">
        <v>1.4692769999999999</v>
      </c>
      <c r="O502" s="4">
        <v>0.33243</v>
      </c>
      <c r="P502" s="4">
        <v>6.8616999999999997E-2</v>
      </c>
      <c r="Q502" s="4">
        <v>-0.50025600000000003</v>
      </c>
      <c r="R502" s="4">
        <v>-0.34876699999999999</v>
      </c>
      <c r="S502" s="4">
        <v>0.91964999999999997</v>
      </c>
      <c r="T502" s="4">
        <v>1.473606</v>
      </c>
    </row>
    <row r="503" spans="1:20" ht="18">
      <c r="A503" s="2">
        <f t="shared" si="103"/>
        <v>502</v>
      </c>
      <c r="B503" s="7" t="s">
        <v>1047</v>
      </c>
      <c r="I503" s="15" t="s">
        <v>523</v>
      </c>
      <c r="J503" s="15">
        <v>501</v>
      </c>
      <c r="K503" s="4">
        <v>0.979603</v>
      </c>
      <c r="L503" s="4">
        <v>6.7343E-2</v>
      </c>
      <c r="M503" s="4">
        <v>0.62655300000000003</v>
      </c>
      <c r="N503" s="4">
        <v>0.49673899999999999</v>
      </c>
      <c r="O503" s="4">
        <v>-1.3246770000000001</v>
      </c>
      <c r="P503" s="4">
        <v>-0.91145500000000002</v>
      </c>
      <c r="Q503" s="4">
        <v>-0.67936399999999997</v>
      </c>
      <c r="R503" s="4">
        <v>-3.113226</v>
      </c>
      <c r="S503" s="4">
        <v>0.76454900000000003</v>
      </c>
      <c r="T503" s="4">
        <v>0.41694799999999999</v>
      </c>
    </row>
    <row r="504" spans="1:20" ht="18">
      <c r="A504" s="2">
        <f t="shared" si="103"/>
        <v>503</v>
      </c>
      <c r="B504" s="7" t="s">
        <v>1048</v>
      </c>
      <c r="I504" s="15" t="s">
        <v>524</v>
      </c>
      <c r="J504" s="15">
        <v>502</v>
      </c>
      <c r="K504" s="4">
        <v>-2.2478750000000001</v>
      </c>
      <c r="L504" s="4">
        <v>0.225325</v>
      </c>
      <c r="M504" s="4">
        <v>-0.63307999999999998</v>
      </c>
      <c r="N504" s="4">
        <v>-1.8162659999999999</v>
      </c>
      <c r="O504" s="4">
        <v>-0.45368700000000001</v>
      </c>
      <c r="P504" s="4">
        <v>1.343305</v>
      </c>
      <c r="Q504" s="4">
        <v>-0.278362</v>
      </c>
      <c r="R504" s="4">
        <v>1.957668</v>
      </c>
      <c r="S504" s="4">
        <v>-0.113001</v>
      </c>
      <c r="T504" s="4">
        <v>-0.47341699999999998</v>
      </c>
    </row>
    <row r="505" spans="1:20" ht="18">
      <c r="A505" s="2">
        <f t="shared" si="103"/>
        <v>504</v>
      </c>
      <c r="B505" s="7" t="s">
        <v>1049</v>
      </c>
      <c r="I505" s="15" t="s">
        <v>525</v>
      </c>
      <c r="J505" s="15">
        <v>503</v>
      </c>
      <c r="K505" s="4">
        <v>1.056319</v>
      </c>
      <c r="L505" s="4">
        <v>0.84384499999999996</v>
      </c>
      <c r="M505" s="4">
        <v>-6.9030999999999995E-2</v>
      </c>
      <c r="N505" s="4">
        <v>0.56712499999999999</v>
      </c>
      <c r="O505" s="4">
        <v>-0.23122899999999999</v>
      </c>
      <c r="P505" s="4">
        <v>-1.9516770000000001</v>
      </c>
      <c r="Q505" s="4">
        <v>-3.9070000000000001E-2</v>
      </c>
      <c r="R505" s="4">
        <v>0.28750799999999999</v>
      </c>
      <c r="S505" s="4">
        <v>-0.33793000000000001</v>
      </c>
      <c r="T505" s="4">
        <v>-0.93815800000000005</v>
      </c>
    </row>
    <row r="506" spans="1:20" ht="18">
      <c r="A506" s="2">
        <f t="shared" si="103"/>
        <v>505</v>
      </c>
      <c r="B506" s="7" t="s">
        <v>1050</v>
      </c>
      <c r="I506" s="15" t="s">
        <v>526</v>
      </c>
      <c r="J506" s="15">
        <v>504</v>
      </c>
      <c r="K506" s="4">
        <v>-1.474092</v>
      </c>
      <c r="L506" s="4">
        <v>0.88203399999999998</v>
      </c>
      <c r="M506" s="4">
        <v>1.8967810000000001</v>
      </c>
      <c r="N506" s="4">
        <v>-0.39494499999999999</v>
      </c>
      <c r="O506" s="4">
        <v>-0.71952000000000005</v>
      </c>
      <c r="P506" s="4">
        <v>-0.35285</v>
      </c>
      <c r="Q506" s="4">
        <v>0.31832199999999999</v>
      </c>
      <c r="R506" s="4">
        <v>-1.06359</v>
      </c>
      <c r="S506" s="4">
        <v>1.7695639999999999</v>
      </c>
      <c r="T506" s="4">
        <v>0.75557700000000005</v>
      </c>
    </row>
    <row r="507" spans="1:20" ht="18">
      <c r="A507" s="2">
        <f t="shared" si="103"/>
        <v>506</v>
      </c>
      <c r="B507" s="7" t="s">
        <v>1051</v>
      </c>
      <c r="I507" s="15" t="s">
        <v>527</v>
      </c>
      <c r="J507" s="15">
        <v>505</v>
      </c>
      <c r="K507" s="4">
        <v>-1.2738160000000001</v>
      </c>
      <c r="L507" s="4">
        <v>1.501358</v>
      </c>
      <c r="M507" s="4">
        <v>1.2173020000000001</v>
      </c>
      <c r="N507" s="4">
        <v>2.393348</v>
      </c>
      <c r="O507" s="4">
        <v>2.9938039999999999</v>
      </c>
      <c r="P507" s="4">
        <v>0.255857</v>
      </c>
      <c r="Q507" s="4">
        <v>0.33913900000000002</v>
      </c>
      <c r="R507" s="4">
        <v>0.51854199999999995</v>
      </c>
      <c r="S507" s="4">
        <v>0.28321000000000002</v>
      </c>
      <c r="T507" s="4">
        <v>-0.76305900000000004</v>
      </c>
    </row>
    <row r="508" spans="1:20" ht="18">
      <c r="A508" s="2">
        <f t="shared" si="103"/>
        <v>507</v>
      </c>
      <c r="B508" s="7" t="s">
        <v>1052</v>
      </c>
      <c r="I508" s="15" t="s">
        <v>528</v>
      </c>
      <c r="J508" s="15">
        <v>506</v>
      </c>
      <c r="K508" s="4">
        <v>-0.21582200000000001</v>
      </c>
      <c r="L508" s="4">
        <v>-0.431676</v>
      </c>
      <c r="M508" s="4">
        <v>0.20210500000000001</v>
      </c>
      <c r="N508" s="4">
        <v>-3.1161720000000002</v>
      </c>
      <c r="O508" s="4">
        <v>1.793485</v>
      </c>
      <c r="P508" s="4">
        <v>-1.216253</v>
      </c>
      <c r="Q508" s="4">
        <v>-0.74292899999999995</v>
      </c>
      <c r="R508" s="4">
        <v>0.30398900000000001</v>
      </c>
      <c r="S508" s="4">
        <v>-0.63820399999999999</v>
      </c>
      <c r="T508" s="4">
        <v>0.208679</v>
      </c>
    </row>
    <row r="509" spans="1:20" ht="18">
      <c r="A509" s="2">
        <f t="shared" si="103"/>
        <v>508</v>
      </c>
      <c r="B509" s="7" t="s">
        <v>1053</v>
      </c>
      <c r="I509" s="15" t="s">
        <v>529</v>
      </c>
      <c r="J509" s="15">
        <v>507</v>
      </c>
      <c r="K509" s="4">
        <v>0.61238899999999996</v>
      </c>
      <c r="L509" s="4">
        <v>1.0851219999999999</v>
      </c>
      <c r="M509" s="4">
        <v>1.2823819999999999</v>
      </c>
      <c r="N509" s="4">
        <v>0.60863</v>
      </c>
      <c r="O509" s="4">
        <v>0.51660899999999998</v>
      </c>
      <c r="P509" s="4">
        <v>-0.81938</v>
      </c>
      <c r="Q509" s="4">
        <v>-1.7857529999999999</v>
      </c>
      <c r="R509" s="4">
        <v>-0.57646799999999998</v>
      </c>
      <c r="S509" s="4">
        <v>-0.25119399999999997</v>
      </c>
      <c r="T509" s="4">
        <v>-1.255504</v>
      </c>
    </row>
    <row r="510" spans="1:20" ht="18">
      <c r="A510" s="2">
        <f t="shared" si="103"/>
        <v>509</v>
      </c>
      <c r="B510" s="7" t="s">
        <v>1054</v>
      </c>
      <c r="I510" s="15" t="s">
        <v>530</v>
      </c>
      <c r="J510" s="15">
        <v>508</v>
      </c>
      <c r="K510" s="4">
        <v>1.269339</v>
      </c>
      <c r="L510" s="4">
        <v>-0.30095</v>
      </c>
      <c r="M510" s="4">
        <v>9.2409999999999992E-3</v>
      </c>
      <c r="N510" s="4">
        <v>-0.28084900000000002</v>
      </c>
      <c r="O510" s="4">
        <v>-0.85481799999999997</v>
      </c>
      <c r="P510" s="4">
        <v>1.227087</v>
      </c>
      <c r="Q510" s="4">
        <v>1.6495070000000001</v>
      </c>
      <c r="R510" s="4">
        <v>0.78400899999999996</v>
      </c>
      <c r="S510" s="4">
        <v>-0.68262100000000003</v>
      </c>
      <c r="T510" s="4">
        <v>-1.1803509999999999</v>
      </c>
    </row>
    <row r="511" spans="1:20" ht="18">
      <c r="A511" s="2">
        <f t="shared" si="103"/>
        <v>510</v>
      </c>
      <c r="B511" s="7" t="s">
        <v>1055</v>
      </c>
      <c r="I511" s="15" t="s">
        <v>531</v>
      </c>
      <c r="J511" s="15">
        <v>509</v>
      </c>
      <c r="K511" s="4">
        <v>0.83695399999999998</v>
      </c>
      <c r="L511" s="4">
        <v>-1.8068679999999999</v>
      </c>
      <c r="M511" s="4">
        <v>-0.71679199999999998</v>
      </c>
      <c r="N511" s="4">
        <v>-1.289153</v>
      </c>
      <c r="O511" s="4">
        <v>1.6142559999999999</v>
      </c>
      <c r="P511" s="4">
        <v>-0.417688</v>
      </c>
      <c r="Q511" s="4">
        <v>0.38463599999999998</v>
      </c>
      <c r="R511" s="4">
        <v>-0.90588400000000002</v>
      </c>
      <c r="S511" s="4">
        <v>-0.28883799999999998</v>
      </c>
      <c r="T511" s="4">
        <v>1.2968930000000001</v>
      </c>
    </row>
    <row r="512" spans="1:20" ht="18">
      <c r="A512" s="2">
        <f t="shared" si="103"/>
        <v>511</v>
      </c>
      <c r="B512" s="7" t="s">
        <v>1056</v>
      </c>
      <c r="I512" s="15" t="s">
        <v>532</v>
      </c>
      <c r="J512" s="15">
        <v>510</v>
      </c>
      <c r="K512" s="4">
        <v>0.399308</v>
      </c>
      <c r="L512" s="4">
        <v>-1.1203559999999999</v>
      </c>
      <c r="M512" s="4">
        <v>0.35777100000000001</v>
      </c>
      <c r="N512" s="4">
        <v>-1.254418</v>
      </c>
      <c r="O512" s="4">
        <v>-1.4554530000000001</v>
      </c>
      <c r="P512" s="4">
        <v>-0.286856</v>
      </c>
      <c r="Q512" s="4">
        <v>0.53028600000000004</v>
      </c>
      <c r="R512" s="4">
        <v>0.441803</v>
      </c>
      <c r="S512" s="4">
        <v>-0.165522</v>
      </c>
      <c r="T512" s="4">
        <v>-1.094527</v>
      </c>
    </row>
    <row r="513" spans="1:20" ht="18">
      <c r="A513" s="2">
        <f t="shared" si="103"/>
        <v>512</v>
      </c>
      <c r="B513" s="7" t="s">
        <v>1057</v>
      </c>
      <c r="I513" s="15" t="s">
        <v>533</v>
      </c>
      <c r="J513" s="15">
        <v>511</v>
      </c>
      <c r="K513" s="4">
        <v>-0.65757600000000005</v>
      </c>
      <c r="L513" s="4">
        <v>0.197072</v>
      </c>
      <c r="M513" s="4">
        <v>0.67683300000000002</v>
      </c>
      <c r="N513" s="4">
        <v>-0.32119199999999998</v>
      </c>
      <c r="O513" s="4">
        <v>-0.19490399999999999</v>
      </c>
      <c r="P513" s="4">
        <v>0.29316700000000001</v>
      </c>
      <c r="Q513" s="4">
        <v>1.751663</v>
      </c>
      <c r="R513" s="4">
        <v>-1.975819</v>
      </c>
      <c r="S513" s="4">
        <v>-0.90867399999999998</v>
      </c>
      <c r="T513" s="4">
        <v>2.328913</v>
      </c>
    </row>
    <row r="514" spans="1:20" ht="18">
      <c r="A514" s="2">
        <f t="shared" si="103"/>
        <v>513</v>
      </c>
      <c r="B514" s="7" t="s">
        <v>1058</v>
      </c>
      <c r="I514" s="15" t="s">
        <v>534</v>
      </c>
      <c r="J514" s="15">
        <v>512</v>
      </c>
      <c r="K514" s="4">
        <v>0.32110300000000003</v>
      </c>
      <c r="L514" s="4">
        <v>-4.3323E-2</v>
      </c>
      <c r="M514" s="4">
        <v>-0.187804</v>
      </c>
      <c r="N514" s="4">
        <v>-0.66067900000000002</v>
      </c>
      <c r="O514" s="4">
        <v>0.97785999999999995</v>
      </c>
      <c r="P514" s="4">
        <v>0.36524099999999998</v>
      </c>
      <c r="Q514" s="4">
        <v>0.64991699999999997</v>
      </c>
      <c r="R514" s="4">
        <v>0.41703800000000002</v>
      </c>
      <c r="S514" s="4">
        <v>0.62255499999999997</v>
      </c>
      <c r="T514" s="4">
        <v>4.5855E-2</v>
      </c>
    </row>
    <row r="515" spans="1:20" ht="18">
      <c r="A515" s="2">
        <f t="shared" ref="A515:A578" si="104">ROW()-1</f>
        <v>514</v>
      </c>
      <c r="B515" s="7" t="s">
        <v>1059</v>
      </c>
      <c r="I515" s="15" t="s">
        <v>535</v>
      </c>
      <c r="J515" s="15">
        <v>513</v>
      </c>
      <c r="K515" s="4">
        <v>2.2560000000000002E-3</v>
      </c>
      <c r="L515" s="4">
        <v>-1.936979</v>
      </c>
      <c r="M515" s="4">
        <v>0.16095200000000001</v>
      </c>
      <c r="N515" s="4">
        <v>-0.117539</v>
      </c>
      <c r="O515" s="4">
        <v>0.80668200000000001</v>
      </c>
      <c r="P515" s="4">
        <v>-0.88133300000000003</v>
      </c>
      <c r="Q515" s="4">
        <v>0.27492899999999998</v>
      </c>
      <c r="R515" s="4">
        <v>-0.88200000000000001</v>
      </c>
      <c r="S515" s="4">
        <v>-0.17638599999999999</v>
      </c>
      <c r="T515" s="4">
        <v>-0.65855699999999995</v>
      </c>
    </row>
    <row r="516" spans="1:20" ht="18">
      <c r="A516" s="2">
        <f t="shared" si="104"/>
        <v>515</v>
      </c>
      <c r="B516" s="7" t="s">
        <v>1060</v>
      </c>
      <c r="I516" s="15" t="s">
        <v>536</v>
      </c>
      <c r="J516" s="15">
        <v>514</v>
      </c>
      <c r="K516" s="4">
        <v>0.89326000000000005</v>
      </c>
      <c r="L516" s="4">
        <v>-9.1782000000000002E-2</v>
      </c>
      <c r="M516" s="4">
        <v>-0.60895900000000003</v>
      </c>
      <c r="N516" s="4">
        <v>-1.889648</v>
      </c>
      <c r="O516" s="4">
        <v>0.32070900000000002</v>
      </c>
      <c r="P516" s="4">
        <v>-1.9692000000000001E-2</v>
      </c>
      <c r="Q516" s="4">
        <v>-0.35798999999999997</v>
      </c>
      <c r="R516" s="4">
        <v>-5.5041E-2</v>
      </c>
      <c r="S516" s="4">
        <v>-1.6751020000000001</v>
      </c>
      <c r="T516" s="4">
        <v>-0.16453699999999999</v>
      </c>
    </row>
    <row r="517" spans="1:20" ht="18">
      <c r="A517" s="2">
        <f t="shared" si="104"/>
        <v>516</v>
      </c>
      <c r="B517" s="7" t="s">
        <v>1061</v>
      </c>
      <c r="I517" s="15" t="s">
        <v>537</v>
      </c>
      <c r="J517" s="15">
        <v>515</v>
      </c>
      <c r="K517" s="4">
        <v>0.83106599999999997</v>
      </c>
      <c r="L517" s="4">
        <v>0.116394</v>
      </c>
      <c r="M517" s="4">
        <v>-1.500262</v>
      </c>
      <c r="N517" s="4">
        <v>1.1590560000000001</v>
      </c>
      <c r="O517" s="4">
        <v>2.5907339999999999</v>
      </c>
      <c r="P517" s="4">
        <v>-0.65880399999999995</v>
      </c>
      <c r="Q517" s="4">
        <v>1.989072</v>
      </c>
      <c r="R517" s="4">
        <v>0.86489199999999999</v>
      </c>
      <c r="S517" s="4">
        <v>-0.15562999999999999</v>
      </c>
      <c r="T517" s="4">
        <v>0.95810499999999998</v>
      </c>
    </row>
    <row r="518" spans="1:20" ht="18">
      <c r="A518" s="2">
        <f t="shared" si="104"/>
        <v>517</v>
      </c>
      <c r="B518" s="7" t="s">
        <v>1062</v>
      </c>
      <c r="I518" s="15" t="s">
        <v>538</v>
      </c>
      <c r="J518" s="15">
        <v>516</v>
      </c>
      <c r="K518" s="4">
        <v>-0.60580800000000001</v>
      </c>
      <c r="L518" s="4">
        <v>0.30803900000000001</v>
      </c>
      <c r="M518" s="4">
        <v>1.142274</v>
      </c>
      <c r="N518" s="4">
        <v>-2.0566879999999998</v>
      </c>
      <c r="O518" s="4">
        <v>-0.98183399999999998</v>
      </c>
      <c r="P518" s="4">
        <v>1.164425</v>
      </c>
      <c r="Q518" s="4">
        <v>0.25963199999999997</v>
      </c>
      <c r="R518" s="4">
        <v>-0.40189599999999998</v>
      </c>
      <c r="S518" s="4">
        <v>0.900814</v>
      </c>
      <c r="T518" s="4">
        <v>-3.0329619999999999</v>
      </c>
    </row>
    <row r="519" spans="1:20" ht="18">
      <c r="A519" s="2">
        <f t="shared" si="104"/>
        <v>518</v>
      </c>
      <c r="B519" s="7" t="s">
        <v>1063</v>
      </c>
      <c r="I519" s="15" t="s">
        <v>539</v>
      </c>
      <c r="J519" s="15">
        <v>517</v>
      </c>
      <c r="K519" s="4">
        <v>-0.39413700000000002</v>
      </c>
      <c r="L519" s="4">
        <v>-0.54107700000000003</v>
      </c>
      <c r="M519" s="4">
        <v>-2.2765409999999999</v>
      </c>
      <c r="N519" s="4">
        <v>-0.102201</v>
      </c>
      <c r="O519" s="4">
        <v>-0.19256100000000001</v>
      </c>
      <c r="P519" s="4">
        <v>0.80618400000000001</v>
      </c>
      <c r="Q519" s="4">
        <v>0.572021</v>
      </c>
      <c r="R519" s="4">
        <v>-0.25462000000000001</v>
      </c>
      <c r="S519" s="4">
        <v>-0.51793699999999998</v>
      </c>
      <c r="T519" s="4">
        <v>-0.56067599999999995</v>
      </c>
    </row>
    <row r="520" spans="1:20" ht="18">
      <c r="A520" s="2">
        <f t="shared" si="104"/>
        <v>519</v>
      </c>
      <c r="B520" s="7" t="s">
        <v>1064</v>
      </c>
      <c r="I520" s="15" t="s">
        <v>540</v>
      </c>
      <c r="J520" s="15">
        <v>518</v>
      </c>
      <c r="K520" s="4">
        <v>-5.0812999999999997E-2</v>
      </c>
      <c r="L520" s="4">
        <v>-1.3956850000000001</v>
      </c>
      <c r="M520" s="4">
        <v>1.2112259999999999</v>
      </c>
      <c r="N520" s="4">
        <v>0.931006</v>
      </c>
      <c r="O520" s="4">
        <v>-0.82473300000000005</v>
      </c>
      <c r="P520" s="4">
        <v>1.123777</v>
      </c>
      <c r="Q520" s="4">
        <v>-0.99348499999999995</v>
      </c>
      <c r="R520" s="4">
        <v>0.27399699999999999</v>
      </c>
      <c r="S520" s="4">
        <v>-1.0516490000000001</v>
      </c>
      <c r="T520" s="4">
        <v>-2.0401470000000002</v>
      </c>
    </row>
    <row r="521" spans="1:20" ht="18">
      <c r="A521" s="2">
        <f t="shared" si="104"/>
        <v>520</v>
      </c>
      <c r="B521" s="7" t="s">
        <v>1065</v>
      </c>
      <c r="I521" s="15" t="s">
        <v>541</v>
      </c>
      <c r="J521" s="15">
        <v>519</v>
      </c>
      <c r="K521" s="4">
        <v>1.117639</v>
      </c>
      <c r="L521" s="4">
        <v>-0.27753100000000003</v>
      </c>
      <c r="M521" s="4">
        <v>0.30730499999999999</v>
      </c>
      <c r="N521" s="4">
        <v>1.583726</v>
      </c>
      <c r="O521" s="4">
        <v>0.24881800000000001</v>
      </c>
      <c r="P521" s="4">
        <v>0.95601499999999995</v>
      </c>
      <c r="Q521" s="4">
        <v>-0.71635700000000002</v>
      </c>
      <c r="R521" s="4">
        <v>-2.3803879999999999</v>
      </c>
      <c r="S521" s="4">
        <v>0.57637300000000002</v>
      </c>
      <c r="T521" s="4">
        <v>5.2720000000000003E-2</v>
      </c>
    </row>
    <row r="522" spans="1:20" ht="18">
      <c r="A522" s="2">
        <f t="shared" si="104"/>
        <v>521</v>
      </c>
      <c r="B522" s="7" t="s">
        <v>1066</v>
      </c>
      <c r="I522" s="15" t="s">
        <v>542</v>
      </c>
      <c r="J522" s="15">
        <v>520</v>
      </c>
      <c r="K522" s="4">
        <v>-0.49765700000000002</v>
      </c>
      <c r="L522" s="4">
        <v>-0.17580699999999999</v>
      </c>
      <c r="M522" s="4">
        <v>-2.3524E-2</v>
      </c>
      <c r="N522" s="4">
        <v>1.5809820000000001</v>
      </c>
      <c r="O522" s="4">
        <v>-1.316729</v>
      </c>
      <c r="P522" s="4">
        <v>0.196301</v>
      </c>
      <c r="Q522" s="4">
        <v>-2.5543399999999998</v>
      </c>
      <c r="R522" s="4">
        <v>-3.4190000000000002E-3</v>
      </c>
      <c r="S522" s="4">
        <v>2.2400980000000001</v>
      </c>
      <c r="T522" s="4">
        <v>-0.82706400000000002</v>
      </c>
    </row>
    <row r="523" spans="1:20" ht="18">
      <c r="A523" s="2">
        <f t="shared" si="104"/>
        <v>522</v>
      </c>
      <c r="B523" s="7" t="s">
        <v>1067</v>
      </c>
      <c r="I523" s="15" t="s">
        <v>543</v>
      </c>
      <c r="J523" s="15">
        <v>521</v>
      </c>
      <c r="K523" s="4">
        <v>-0.91059999999999997</v>
      </c>
      <c r="L523" s="4">
        <v>0.524254</v>
      </c>
      <c r="M523" s="4">
        <v>-1.7652019999999999</v>
      </c>
      <c r="N523" s="4">
        <v>-0.80384900000000004</v>
      </c>
      <c r="O523" s="4">
        <v>-1.2994E-2</v>
      </c>
      <c r="P523" s="4">
        <v>1.185721</v>
      </c>
      <c r="Q523" s="4">
        <v>-1.2834270000000001</v>
      </c>
      <c r="R523" s="4">
        <v>-0.57060200000000005</v>
      </c>
      <c r="S523" s="4">
        <v>0.46095799999999998</v>
      </c>
      <c r="T523" s="4">
        <v>0.32158799999999998</v>
      </c>
    </row>
    <row r="524" spans="1:20" ht="18">
      <c r="A524" s="2">
        <f t="shared" si="104"/>
        <v>523</v>
      </c>
      <c r="B524" s="7" t="s">
        <v>1068</v>
      </c>
      <c r="I524" s="15" t="s">
        <v>544</v>
      </c>
      <c r="J524" s="15">
        <v>522</v>
      </c>
      <c r="K524" s="4">
        <v>-1.2129970000000001</v>
      </c>
      <c r="L524" s="4">
        <v>-0.61737500000000001</v>
      </c>
      <c r="M524" s="4">
        <v>0.85104500000000005</v>
      </c>
      <c r="N524" s="4">
        <v>-0.35857099999999997</v>
      </c>
      <c r="O524" s="4">
        <v>0.39955000000000002</v>
      </c>
      <c r="P524" s="4">
        <v>0.47529199999999999</v>
      </c>
      <c r="Q524" s="4">
        <v>1.6668879999999999</v>
      </c>
      <c r="R524" s="4">
        <v>1.5580210000000001</v>
      </c>
      <c r="S524" s="4">
        <v>0.20041300000000001</v>
      </c>
      <c r="T524" s="4">
        <v>-0.77278899999999995</v>
      </c>
    </row>
    <row r="525" spans="1:20" ht="18">
      <c r="A525" s="2">
        <f t="shared" si="104"/>
        <v>524</v>
      </c>
      <c r="B525" s="7" t="s">
        <v>1069</v>
      </c>
      <c r="I525" s="15" t="s">
        <v>545</v>
      </c>
      <c r="J525" s="15">
        <v>523</v>
      </c>
      <c r="K525" s="4">
        <v>0.77999799999999997</v>
      </c>
      <c r="L525" s="4">
        <v>0.18746699999999999</v>
      </c>
      <c r="M525" s="4">
        <v>0.72533700000000001</v>
      </c>
      <c r="N525" s="4">
        <v>0.895845</v>
      </c>
      <c r="O525" s="4">
        <v>-0.44603599999999999</v>
      </c>
      <c r="P525" s="4">
        <v>-1.3097129999999999</v>
      </c>
      <c r="Q525" s="4">
        <v>0.68246300000000004</v>
      </c>
      <c r="R525" s="4">
        <v>-0.76268499999999995</v>
      </c>
      <c r="S525" s="4">
        <v>-0.37476500000000001</v>
      </c>
      <c r="T525" s="4">
        <v>-0.103524</v>
      </c>
    </row>
    <row r="526" spans="1:20" ht="18">
      <c r="A526" s="2">
        <f t="shared" si="104"/>
        <v>525</v>
      </c>
      <c r="B526" s="7" t="s">
        <v>1070</v>
      </c>
      <c r="I526" s="15" t="s">
        <v>546</v>
      </c>
      <c r="J526" s="15">
        <v>524</v>
      </c>
      <c r="K526" s="4">
        <v>0.545512</v>
      </c>
      <c r="L526" s="4">
        <v>0.60413700000000004</v>
      </c>
      <c r="M526" s="4">
        <v>0.86410900000000002</v>
      </c>
      <c r="N526" s="4">
        <v>0.60454399999999997</v>
      </c>
      <c r="O526" s="4">
        <v>-1.1918949999999999</v>
      </c>
      <c r="P526" s="4">
        <v>0.47347899999999998</v>
      </c>
      <c r="Q526" s="4">
        <v>0.83573799999999998</v>
      </c>
      <c r="R526" s="4">
        <v>-6.3584000000000002E-2</v>
      </c>
      <c r="S526" s="4">
        <v>0.44711699999999999</v>
      </c>
      <c r="T526" s="4">
        <v>-1.1709769999999999</v>
      </c>
    </row>
    <row r="527" spans="1:20" ht="18">
      <c r="A527" s="2">
        <f t="shared" si="104"/>
        <v>526</v>
      </c>
      <c r="B527" s="7" t="s">
        <v>1071</v>
      </c>
      <c r="I527" s="15" t="s">
        <v>547</v>
      </c>
      <c r="J527" s="15">
        <v>525</v>
      </c>
      <c r="K527" s="4">
        <v>0.50177300000000002</v>
      </c>
      <c r="L527" s="4">
        <v>-0.10015300000000001</v>
      </c>
      <c r="M527" s="4">
        <v>4.6176000000000002E-2</v>
      </c>
      <c r="N527" s="4">
        <v>-0.49043900000000001</v>
      </c>
      <c r="O527" s="4">
        <v>-0.192471</v>
      </c>
      <c r="P527" s="4">
        <v>-0.98647499999999999</v>
      </c>
      <c r="Q527" s="4">
        <v>-0.14732000000000001</v>
      </c>
      <c r="R527" s="4">
        <v>-0.145926</v>
      </c>
      <c r="S527" s="4">
        <v>-1.2091639999999999</v>
      </c>
      <c r="T527" s="4">
        <v>-9.9860000000000001E-3</v>
      </c>
    </row>
    <row r="528" spans="1:20" ht="18">
      <c r="A528" s="2">
        <f t="shared" si="104"/>
        <v>527</v>
      </c>
      <c r="B528" s="7" t="s">
        <v>1072</v>
      </c>
      <c r="I528" s="15" t="s">
        <v>548</v>
      </c>
      <c r="J528" s="15">
        <v>526</v>
      </c>
      <c r="K528" s="4">
        <v>-1.758902</v>
      </c>
      <c r="L528" s="4">
        <v>0.35722300000000001</v>
      </c>
      <c r="M528" s="4">
        <v>0.90059100000000003</v>
      </c>
      <c r="N528" s="4">
        <v>0.71897999999999995</v>
      </c>
      <c r="O528" s="4">
        <v>-0.55929799999999996</v>
      </c>
      <c r="P528" s="4">
        <v>-1.9586159999999999</v>
      </c>
      <c r="Q528" s="4">
        <v>-2.0282439999999999</v>
      </c>
      <c r="R528" s="4">
        <v>0.33941199999999999</v>
      </c>
      <c r="S528" s="4">
        <v>-0.11344799999999999</v>
      </c>
      <c r="T528" s="4">
        <v>0.46267200000000003</v>
      </c>
    </row>
    <row r="529" spans="1:20" ht="18">
      <c r="A529" s="2">
        <f t="shared" si="104"/>
        <v>528</v>
      </c>
      <c r="B529" s="7" t="s">
        <v>1073</v>
      </c>
      <c r="I529" s="15" t="s">
        <v>549</v>
      </c>
      <c r="J529" s="15">
        <v>527</v>
      </c>
      <c r="K529" s="4">
        <v>-0.45020199999999999</v>
      </c>
      <c r="L529" s="4">
        <v>1.0105059999999999</v>
      </c>
      <c r="M529" s="4">
        <v>-0.30756499999999998</v>
      </c>
      <c r="N529" s="4">
        <v>-0.42068</v>
      </c>
      <c r="O529" s="4">
        <v>-0.97085699999999997</v>
      </c>
      <c r="P529" s="4">
        <v>1.356193</v>
      </c>
      <c r="Q529" s="4">
        <v>0.803643</v>
      </c>
      <c r="R529" s="4">
        <v>4.2888999999999997E-2</v>
      </c>
      <c r="S529" s="4">
        <v>-0.97257499999999997</v>
      </c>
      <c r="T529" s="4">
        <v>-0.81403700000000001</v>
      </c>
    </row>
    <row r="530" spans="1:20" ht="18">
      <c r="A530" s="2">
        <f t="shared" si="104"/>
        <v>529</v>
      </c>
      <c r="B530" s="7" t="s">
        <v>1074</v>
      </c>
      <c r="I530" s="15" t="s">
        <v>550</v>
      </c>
      <c r="J530" s="15">
        <v>528</v>
      </c>
      <c r="K530" s="4">
        <v>-0.37527199999999999</v>
      </c>
      <c r="L530" s="4">
        <v>0.18935199999999999</v>
      </c>
      <c r="M530" s="4">
        <v>-1.590309</v>
      </c>
      <c r="N530" s="4">
        <v>1.1473340000000001</v>
      </c>
      <c r="O530" s="4">
        <v>0.88360799999999995</v>
      </c>
      <c r="P530" s="4">
        <v>0.89430900000000002</v>
      </c>
      <c r="Q530" s="4">
        <v>7.3949999999999997E-3</v>
      </c>
      <c r="R530" s="4">
        <v>-0.95649399999999996</v>
      </c>
      <c r="S530" s="4">
        <v>-2.2227790000000001</v>
      </c>
      <c r="T530" s="4">
        <v>0.64737299999999998</v>
      </c>
    </row>
    <row r="531" spans="1:20" ht="18">
      <c r="A531" s="2">
        <f t="shared" si="104"/>
        <v>530</v>
      </c>
      <c r="B531" s="7" t="s">
        <v>1075</v>
      </c>
      <c r="I531" s="15" t="s">
        <v>551</v>
      </c>
      <c r="J531" s="15">
        <v>529</v>
      </c>
      <c r="K531" s="4">
        <v>-0.59892900000000004</v>
      </c>
      <c r="L531" s="4">
        <v>-2.379705</v>
      </c>
      <c r="M531" s="4">
        <v>0.473769</v>
      </c>
      <c r="N531" s="4">
        <v>-0.10423300000000001</v>
      </c>
      <c r="O531" s="4">
        <v>-1.0935410000000001</v>
      </c>
      <c r="P531" s="4">
        <v>1.7925709999999999</v>
      </c>
      <c r="Q531" s="4">
        <v>-0.97912100000000002</v>
      </c>
      <c r="R531" s="4">
        <v>-0.21973599999999999</v>
      </c>
      <c r="S531" s="4">
        <v>1.2746839999999999</v>
      </c>
      <c r="T531" s="4">
        <v>-0.23896899999999999</v>
      </c>
    </row>
    <row r="532" spans="1:20" ht="18">
      <c r="A532" s="2">
        <f t="shared" si="104"/>
        <v>531</v>
      </c>
      <c r="B532" s="7" t="s">
        <v>1076</v>
      </c>
      <c r="I532" s="15" t="s">
        <v>552</v>
      </c>
      <c r="J532" s="15">
        <v>530</v>
      </c>
      <c r="K532" s="4">
        <v>1.859747</v>
      </c>
      <c r="L532" s="4">
        <v>0.95596199999999998</v>
      </c>
      <c r="M532" s="4">
        <v>-2.9308000000000001E-2</v>
      </c>
      <c r="N532" s="4">
        <v>-0.743475</v>
      </c>
      <c r="O532" s="4">
        <v>0.27945199999999998</v>
      </c>
      <c r="P532" s="4">
        <v>-0.26809899999999998</v>
      </c>
      <c r="Q532" s="4">
        <v>0.75672300000000003</v>
      </c>
      <c r="R532" s="4">
        <v>-0.19425100000000001</v>
      </c>
      <c r="S532" s="4">
        <v>0.501305</v>
      </c>
      <c r="T532" s="4">
        <v>0.26014100000000001</v>
      </c>
    </row>
    <row r="533" spans="1:20" ht="18">
      <c r="A533" s="2">
        <f t="shared" si="104"/>
        <v>532</v>
      </c>
      <c r="B533" s="7" t="s">
        <v>1077</v>
      </c>
      <c r="I533" s="15" t="s">
        <v>553</v>
      </c>
      <c r="J533" s="15">
        <v>531</v>
      </c>
      <c r="K533" s="4">
        <v>-0.86823499999999998</v>
      </c>
      <c r="L533" s="4">
        <v>-8.5377999999999996E-2</v>
      </c>
      <c r="M533" s="4">
        <v>0.910856</v>
      </c>
      <c r="N533" s="4">
        <v>-2.2375210000000001</v>
      </c>
      <c r="O533" s="4">
        <v>-2.2479939999999998</v>
      </c>
      <c r="P533" s="4">
        <v>3.6674999999999999E-2</v>
      </c>
      <c r="Q533" s="4">
        <v>0.71172500000000005</v>
      </c>
      <c r="R533" s="4">
        <v>-0.76786500000000002</v>
      </c>
      <c r="S533" s="4">
        <v>0.22770199999999999</v>
      </c>
      <c r="T533" s="4">
        <v>1.022678</v>
      </c>
    </row>
    <row r="534" spans="1:20" ht="18">
      <c r="A534" s="2">
        <f t="shared" si="104"/>
        <v>533</v>
      </c>
      <c r="B534" s="7" t="s">
        <v>1078</v>
      </c>
      <c r="I534" s="15" t="s">
        <v>554</v>
      </c>
      <c r="J534" s="15">
        <v>532</v>
      </c>
      <c r="K534" s="4">
        <v>1.0685009999999999</v>
      </c>
      <c r="L534" s="4">
        <v>-9.4122999999999998E-2</v>
      </c>
      <c r="M534" s="4">
        <v>-0.80512799999999995</v>
      </c>
      <c r="N534" s="4">
        <v>0.16502</v>
      </c>
      <c r="O534" s="4">
        <v>0.29110399999999997</v>
      </c>
      <c r="P534" s="4">
        <v>-2.0549379999999999</v>
      </c>
      <c r="Q534" s="4">
        <v>-2.2602500000000001</v>
      </c>
      <c r="R534" s="4">
        <v>-0.14513899999999999</v>
      </c>
      <c r="S534" s="4">
        <v>-0.115038</v>
      </c>
      <c r="T534" s="4">
        <v>0.53954100000000005</v>
      </c>
    </row>
    <row r="535" spans="1:20" ht="18">
      <c r="A535" s="2">
        <f t="shared" si="104"/>
        <v>534</v>
      </c>
      <c r="B535" s="7" t="s">
        <v>1079</v>
      </c>
      <c r="I535" s="15" t="s">
        <v>555</v>
      </c>
      <c r="J535" s="15">
        <v>533</v>
      </c>
      <c r="K535" s="4">
        <v>-1.6815720000000001</v>
      </c>
      <c r="L535" s="4">
        <v>-1.9401189999999999</v>
      </c>
      <c r="M535" s="4">
        <v>-8.6503999999999998E-2</v>
      </c>
      <c r="N535" s="4">
        <v>1.873885</v>
      </c>
      <c r="O535" s="4">
        <v>-1.0161</v>
      </c>
      <c r="P535" s="4">
        <v>-1.083431</v>
      </c>
      <c r="Q535" s="4">
        <v>-1.606357</v>
      </c>
      <c r="R535" s="4">
        <v>0.104168</v>
      </c>
      <c r="S535" s="4">
        <v>-1.1288750000000001</v>
      </c>
      <c r="T535" s="4">
        <v>-2.074109</v>
      </c>
    </row>
    <row r="536" spans="1:20" ht="18">
      <c r="A536" s="2">
        <f t="shared" si="104"/>
        <v>535</v>
      </c>
      <c r="B536" s="7" t="s">
        <v>1080</v>
      </c>
      <c r="I536" s="15" t="s">
        <v>556</v>
      </c>
      <c r="J536" s="15">
        <v>534</v>
      </c>
      <c r="K536" s="4">
        <v>1.4981E-2</v>
      </c>
      <c r="L536" s="4">
        <v>-0.55968700000000005</v>
      </c>
      <c r="M536" s="4">
        <v>-1.6933229999999999</v>
      </c>
      <c r="N536" s="4">
        <v>-0.96381700000000003</v>
      </c>
      <c r="O536" s="4">
        <v>-1.9785109999999999</v>
      </c>
      <c r="P536" s="4">
        <v>0.51287499999999997</v>
      </c>
      <c r="Q536" s="4">
        <v>1.906736</v>
      </c>
      <c r="R536" s="4">
        <v>1.479039</v>
      </c>
      <c r="S536" s="4">
        <v>-0.70444099999999998</v>
      </c>
      <c r="T536" s="4">
        <v>-1.650906</v>
      </c>
    </row>
    <row r="537" spans="1:20" ht="18">
      <c r="A537" s="2">
        <f t="shared" si="104"/>
        <v>536</v>
      </c>
      <c r="B537" s="7" t="s">
        <v>1081</v>
      </c>
      <c r="I537" s="15" t="s">
        <v>557</v>
      </c>
      <c r="J537" s="15">
        <v>535</v>
      </c>
      <c r="K537" s="4">
        <v>-0.30660300000000001</v>
      </c>
      <c r="L537" s="4">
        <v>-1.5535699999999999</v>
      </c>
      <c r="M537" s="4">
        <v>-0.92047999999999996</v>
      </c>
      <c r="N537" s="4">
        <v>-0.70838999999999996</v>
      </c>
      <c r="O537" s="4">
        <v>-1.4436329999999999</v>
      </c>
      <c r="P537" s="4">
        <v>0.78161099999999994</v>
      </c>
      <c r="Q537" s="4">
        <v>-0.30794300000000002</v>
      </c>
      <c r="R537" s="4">
        <v>-1.238496</v>
      </c>
      <c r="S537" s="4">
        <v>-1.9424349999999999</v>
      </c>
      <c r="T537" s="4">
        <v>8.0613000000000004E-2</v>
      </c>
    </row>
    <row r="538" spans="1:20" ht="18">
      <c r="A538" s="2">
        <f t="shared" si="104"/>
        <v>537</v>
      </c>
      <c r="B538" s="7" t="s">
        <v>1082</v>
      </c>
      <c r="I538" s="15" t="s">
        <v>558</v>
      </c>
      <c r="J538" s="15">
        <v>536</v>
      </c>
      <c r="K538" s="4">
        <v>-0.51877799999999996</v>
      </c>
      <c r="L538" s="4">
        <v>0.51183999999999996</v>
      </c>
      <c r="M538" s="4">
        <v>1.9922390000000001</v>
      </c>
      <c r="N538" s="4">
        <v>-0.291159</v>
      </c>
      <c r="O538" s="4">
        <v>0.85969200000000001</v>
      </c>
      <c r="P538" s="4">
        <v>0.229042</v>
      </c>
      <c r="Q538" s="4">
        <v>0.75692199999999998</v>
      </c>
      <c r="R538" s="4">
        <v>1.194591</v>
      </c>
      <c r="S538" s="4">
        <v>0.30743399999999999</v>
      </c>
      <c r="T538" s="4">
        <v>-0.50640799999999997</v>
      </c>
    </row>
    <row r="539" spans="1:20" ht="18">
      <c r="A539" s="2">
        <f t="shared" si="104"/>
        <v>538</v>
      </c>
      <c r="B539" s="7" t="s">
        <v>1083</v>
      </c>
      <c r="I539" s="15" t="s">
        <v>559</v>
      </c>
      <c r="J539" s="15">
        <v>537</v>
      </c>
      <c r="K539" s="4">
        <v>-0.509687</v>
      </c>
      <c r="L539" s="4">
        <v>-0.51882899999999998</v>
      </c>
      <c r="M539" s="4">
        <v>0.13666900000000001</v>
      </c>
      <c r="N539" s="4">
        <v>-0.12656899999999999</v>
      </c>
      <c r="O539" s="4">
        <v>0.65639999999999998</v>
      </c>
      <c r="P539" s="4">
        <v>1.176752</v>
      </c>
      <c r="Q539" s="4">
        <v>-1.9801390000000001</v>
      </c>
      <c r="R539" s="4">
        <v>-0.73721199999999998</v>
      </c>
      <c r="S539" s="4">
        <v>-0.14080599999999999</v>
      </c>
      <c r="T539" s="4">
        <v>-6.4007999999999995E-2</v>
      </c>
    </row>
    <row r="540" spans="1:20" ht="18">
      <c r="A540" s="2">
        <f t="shared" si="104"/>
        <v>539</v>
      </c>
      <c r="B540" s="7" t="s">
        <v>1084</v>
      </c>
      <c r="I540" s="15" t="s">
        <v>560</v>
      </c>
      <c r="J540" s="15">
        <v>538</v>
      </c>
      <c r="K540" s="4">
        <v>4.5702E-2</v>
      </c>
      <c r="L540" s="4">
        <v>-1.1905399999999999</v>
      </c>
      <c r="M540" s="4">
        <v>-0.55934099999999998</v>
      </c>
      <c r="N540" s="4">
        <v>0.151306</v>
      </c>
      <c r="O540" s="4">
        <v>0.85819800000000002</v>
      </c>
      <c r="P540" s="4">
        <v>0.13836499999999999</v>
      </c>
      <c r="Q540" s="4">
        <v>-0.30190299999999998</v>
      </c>
      <c r="R540" s="4">
        <v>6.0822000000000001E-2</v>
      </c>
      <c r="S540" s="4">
        <v>-0.15928</v>
      </c>
      <c r="T540" s="4">
        <v>-0.66121600000000003</v>
      </c>
    </row>
    <row r="541" spans="1:20" ht="18">
      <c r="A541" s="2">
        <f t="shared" si="104"/>
        <v>540</v>
      </c>
      <c r="B541" s="7" t="s">
        <v>1085</v>
      </c>
      <c r="I541" s="15" t="s">
        <v>561</v>
      </c>
      <c r="J541" s="15">
        <v>539</v>
      </c>
      <c r="K541" s="4">
        <v>-0.175868</v>
      </c>
      <c r="L541" s="4">
        <v>0.76112899999999994</v>
      </c>
      <c r="M541" s="4">
        <v>-1.3281160000000001</v>
      </c>
      <c r="N541" s="4">
        <v>1.3413710000000001</v>
      </c>
      <c r="O541" s="4">
        <v>-0.138795</v>
      </c>
      <c r="P541" s="4">
        <v>-0.66057399999999999</v>
      </c>
      <c r="Q541" s="4">
        <v>-0.42935499999999999</v>
      </c>
      <c r="R541" s="4">
        <v>1.1539619999999999</v>
      </c>
      <c r="S541" s="4">
        <v>-0.45206200000000002</v>
      </c>
      <c r="T541" s="4">
        <v>-0.22845499999999999</v>
      </c>
    </row>
    <row r="542" spans="1:20" ht="18">
      <c r="A542" s="2">
        <f t="shared" si="104"/>
        <v>541</v>
      </c>
      <c r="B542" s="7" t="s">
        <v>1086</v>
      </c>
      <c r="I542" s="15" t="s">
        <v>562</v>
      </c>
      <c r="J542" s="15">
        <v>540</v>
      </c>
      <c r="K542" s="4">
        <v>2.1562610000000002</v>
      </c>
      <c r="L542" s="4">
        <v>-0.67133500000000002</v>
      </c>
      <c r="M542" s="4">
        <v>7.2328000000000003E-2</v>
      </c>
      <c r="N542" s="4">
        <v>-1.137084</v>
      </c>
      <c r="O542" s="4">
        <v>-0.52781</v>
      </c>
      <c r="P542" s="4">
        <v>-0.67991199999999996</v>
      </c>
      <c r="Q542" s="4">
        <v>-0.84378299999999995</v>
      </c>
      <c r="R542" s="4">
        <v>0.72312799999999999</v>
      </c>
      <c r="S542" s="4">
        <v>-0.98402100000000003</v>
      </c>
      <c r="T542" s="4">
        <v>-1.1034250000000001</v>
      </c>
    </row>
    <row r="543" spans="1:20" ht="18">
      <c r="A543" s="2">
        <f t="shared" si="104"/>
        <v>542</v>
      </c>
      <c r="B543" s="7" t="s">
        <v>1087</v>
      </c>
      <c r="I543" s="15" t="s">
        <v>563</v>
      </c>
      <c r="J543" s="15">
        <v>541</v>
      </c>
      <c r="K543" s="4">
        <v>0.84126100000000004</v>
      </c>
      <c r="L543" s="4">
        <v>-1.4536549999999999</v>
      </c>
      <c r="M543" s="4">
        <v>-0.65700199999999997</v>
      </c>
      <c r="N543" s="4">
        <v>-0.65921600000000002</v>
      </c>
      <c r="O543" s="4">
        <v>-1.4861310000000001</v>
      </c>
      <c r="P543" s="4">
        <v>-1.2789E-2</v>
      </c>
      <c r="Q543" s="4">
        <v>-1.5433889999999999</v>
      </c>
      <c r="R543" s="4">
        <v>-0.95987900000000004</v>
      </c>
      <c r="S543" s="4">
        <v>0.80857999999999997</v>
      </c>
      <c r="T543" s="4">
        <v>0.43149900000000002</v>
      </c>
    </row>
    <row r="544" spans="1:20" ht="18">
      <c r="A544" s="2">
        <f t="shared" si="104"/>
        <v>543</v>
      </c>
      <c r="B544" s="7" t="s">
        <v>1088</v>
      </c>
      <c r="I544" s="15" t="s">
        <v>564</v>
      </c>
      <c r="J544" s="15">
        <v>542</v>
      </c>
      <c r="K544" s="4">
        <v>0.22712499999999999</v>
      </c>
      <c r="L544" s="4">
        <v>0.56584999999999996</v>
      </c>
      <c r="M544" s="4">
        <v>-0.43159199999999998</v>
      </c>
      <c r="N544" s="4">
        <v>-0.305867</v>
      </c>
      <c r="O544" s="4">
        <v>-1.9042490000000001</v>
      </c>
      <c r="P544" s="4">
        <v>1.27244</v>
      </c>
      <c r="Q544" s="4">
        <v>-0.51000699999999999</v>
      </c>
      <c r="R544" s="4">
        <v>0.95107699999999995</v>
      </c>
      <c r="S544" s="4">
        <v>-0.48272100000000001</v>
      </c>
      <c r="T544" s="4">
        <v>0.98792000000000002</v>
      </c>
    </row>
    <row r="545" spans="1:20" ht="18">
      <c r="A545" s="2">
        <f t="shared" si="104"/>
        <v>544</v>
      </c>
      <c r="B545" s="7" t="s">
        <v>1089</v>
      </c>
      <c r="I545" s="15" t="s">
        <v>565</v>
      </c>
      <c r="J545" s="15">
        <v>543</v>
      </c>
      <c r="K545" s="4">
        <v>1.6563209999999999</v>
      </c>
      <c r="L545" s="4">
        <v>-0.58271899999999999</v>
      </c>
      <c r="M545" s="4">
        <v>-1.342484</v>
      </c>
      <c r="N545" s="4">
        <v>-0.52527999999999997</v>
      </c>
      <c r="O545" s="4">
        <v>-1.3436600000000001</v>
      </c>
      <c r="P545" s="4">
        <v>0.24209900000000001</v>
      </c>
      <c r="Q545" s="4">
        <v>0.27080900000000002</v>
      </c>
      <c r="R545" s="4">
        <v>2.2938420000000002</v>
      </c>
      <c r="S545" s="4">
        <v>-0.58951600000000004</v>
      </c>
      <c r="T545" s="4">
        <v>-0.77083199999999996</v>
      </c>
    </row>
    <row r="546" spans="1:20" ht="18">
      <c r="A546" s="2">
        <f t="shared" si="104"/>
        <v>545</v>
      </c>
      <c r="B546" s="7" t="s">
        <v>1090</v>
      </c>
      <c r="I546" s="15" t="s">
        <v>566</v>
      </c>
      <c r="J546" s="15">
        <v>544</v>
      </c>
      <c r="K546" s="4">
        <v>-0.33489999999999998</v>
      </c>
      <c r="L546" s="4">
        <v>0.73938899999999996</v>
      </c>
      <c r="M546" s="4">
        <v>-0.49585000000000001</v>
      </c>
      <c r="N546" s="4">
        <v>-3.0698E-2</v>
      </c>
      <c r="O546" s="4">
        <v>4.6143000000000003E-2</v>
      </c>
      <c r="P546" s="4">
        <v>1.1909829999999999</v>
      </c>
      <c r="Q546" s="4">
        <v>-1.496874</v>
      </c>
      <c r="R546" s="4">
        <v>-0.27102799999999999</v>
      </c>
      <c r="S546" s="4">
        <v>1.0684089999999999</v>
      </c>
      <c r="T546" s="4">
        <v>-0.97587000000000002</v>
      </c>
    </row>
    <row r="547" spans="1:20" ht="18">
      <c r="A547" s="2">
        <f t="shared" si="104"/>
        <v>546</v>
      </c>
      <c r="B547" s="7" t="s">
        <v>1091</v>
      </c>
      <c r="I547" s="15" t="s">
        <v>567</v>
      </c>
      <c r="J547" s="15">
        <v>545</v>
      </c>
      <c r="K547" s="4">
        <v>-0.71753900000000004</v>
      </c>
      <c r="L547" s="4">
        <v>1.2123710000000001</v>
      </c>
      <c r="M547" s="4">
        <v>0.213619</v>
      </c>
      <c r="N547" s="4">
        <v>0.86064200000000002</v>
      </c>
      <c r="O547" s="4">
        <v>-0.23013700000000001</v>
      </c>
      <c r="P547" s="4">
        <v>0.772787</v>
      </c>
      <c r="Q547" s="4">
        <v>-0.23457800000000001</v>
      </c>
      <c r="R547" s="4">
        <v>-0.59500799999999998</v>
      </c>
      <c r="S547" s="4">
        <v>6.2447999999999997E-2</v>
      </c>
      <c r="T547" s="4">
        <v>-0.17618700000000001</v>
      </c>
    </row>
    <row r="548" spans="1:20" ht="18">
      <c r="A548" s="2">
        <f t="shared" si="104"/>
        <v>547</v>
      </c>
      <c r="B548" s="7" t="s">
        <v>1092</v>
      </c>
      <c r="I548" s="15" t="s">
        <v>568</v>
      </c>
      <c r="J548" s="15">
        <v>546</v>
      </c>
      <c r="K548" s="4">
        <v>-0.92990099999999998</v>
      </c>
      <c r="L548" s="4">
        <v>1.0114350000000001</v>
      </c>
      <c r="M548" s="4">
        <v>0.36376599999999998</v>
      </c>
      <c r="N548" s="4">
        <v>0.44975900000000002</v>
      </c>
      <c r="O548" s="4">
        <v>-0.554817</v>
      </c>
      <c r="P548" s="4">
        <v>0.97576099999999999</v>
      </c>
      <c r="Q548" s="4">
        <v>-0.22242600000000001</v>
      </c>
      <c r="R548" s="4">
        <v>-1.6294599999999999</v>
      </c>
      <c r="S548" s="4">
        <v>1.884592</v>
      </c>
      <c r="T548" s="4">
        <v>-0.95999800000000002</v>
      </c>
    </row>
    <row r="549" spans="1:20" ht="18">
      <c r="A549" s="2">
        <f t="shared" si="104"/>
        <v>548</v>
      </c>
      <c r="B549" s="7" t="s">
        <v>1093</v>
      </c>
      <c r="I549" s="15" t="s">
        <v>569</v>
      </c>
      <c r="J549" s="15">
        <v>547</v>
      </c>
      <c r="K549" s="4">
        <v>-0.52354800000000001</v>
      </c>
      <c r="L549" s="4">
        <v>-1.6682509999999999</v>
      </c>
      <c r="M549" s="4">
        <v>-1.1026739999999999</v>
      </c>
      <c r="N549" s="4">
        <v>1.049183</v>
      </c>
      <c r="O549" s="4">
        <v>-0.98235399999999995</v>
      </c>
      <c r="P549" s="4">
        <v>0.61440300000000003</v>
      </c>
      <c r="Q549" s="4">
        <v>0.26535500000000001</v>
      </c>
      <c r="R549" s="4">
        <v>7.8742999999999994E-2</v>
      </c>
      <c r="S549" s="4">
        <v>-0.73251900000000003</v>
      </c>
      <c r="T549" s="4">
        <v>0.143066</v>
      </c>
    </row>
    <row r="550" spans="1:20" ht="18">
      <c r="A550" s="2">
        <f t="shared" si="104"/>
        <v>549</v>
      </c>
      <c r="B550" s="7" t="s">
        <v>1094</v>
      </c>
      <c r="I550" s="15" t="s">
        <v>570</v>
      </c>
      <c r="J550" s="15">
        <v>548</v>
      </c>
      <c r="K550" s="4">
        <v>-0.73495900000000003</v>
      </c>
      <c r="L550" s="4">
        <v>0.68929600000000002</v>
      </c>
      <c r="M550" s="4">
        <v>-0.46953699999999998</v>
      </c>
      <c r="N550" s="4">
        <v>0.182314</v>
      </c>
      <c r="O550" s="4">
        <v>-0.67733100000000002</v>
      </c>
      <c r="P550" s="4">
        <v>-1.2116450000000001</v>
      </c>
      <c r="Q550" s="4">
        <v>1.0894010000000001</v>
      </c>
      <c r="R550" s="4">
        <v>-0.42710300000000001</v>
      </c>
      <c r="S550" s="4">
        <v>1.458124</v>
      </c>
      <c r="T550" s="4">
        <v>-0.68988899999999997</v>
      </c>
    </row>
    <row r="551" spans="1:20" ht="18">
      <c r="A551" s="2">
        <f t="shared" si="104"/>
        <v>550</v>
      </c>
      <c r="B551" s="7" t="s">
        <v>1095</v>
      </c>
      <c r="I551" s="15" t="s">
        <v>571</v>
      </c>
      <c r="J551" s="15">
        <v>549</v>
      </c>
      <c r="K551" s="4">
        <v>-0.73613700000000004</v>
      </c>
      <c r="L551" s="4">
        <v>-0.41414400000000001</v>
      </c>
      <c r="M551" s="4">
        <v>-0.176012</v>
      </c>
      <c r="N551" s="4">
        <v>-0.74713399999999996</v>
      </c>
      <c r="O551" s="4">
        <v>0.68843699999999997</v>
      </c>
      <c r="P551" s="4">
        <v>8.4802000000000002E-2</v>
      </c>
      <c r="Q551" s="4">
        <v>0.90259100000000003</v>
      </c>
      <c r="R551" s="4">
        <v>0.46993800000000002</v>
      </c>
      <c r="S551" s="4">
        <v>-0.16898199999999999</v>
      </c>
      <c r="T551" s="4">
        <v>-0.91180399999999995</v>
      </c>
    </row>
    <row r="552" spans="1:20" ht="18">
      <c r="A552" s="2">
        <f t="shared" si="104"/>
        <v>551</v>
      </c>
      <c r="B552" s="7" t="s">
        <v>1096</v>
      </c>
      <c r="I552" s="15" t="s">
        <v>572</v>
      </c>
      <c r="J552" s="15">
        <v>550</v>
      </c>
      <c r="K552" s="4">
        <v>0.16092500000000001</v>
      </c>
      <c r="L552" s="4">
        <v>2.6439000000000001E-2</v>
      </c>
      <c r="M552" s="4">
        <v>-0.384071</v>
      </c>
      <c r="N552" s="4">
        <v>0.61567799999999995</v>
      </c>
      <c r="O552" s="4">
        <v>0.57571099999999997</v>
      </c>
      <c r="P552" s="4">
        <v>0.58861699999999995</v>
      </c>
      <c r="Q552" s="4">
        <v>0.50777000000000005</v>
      </c>
      <c r="R552" s="4">
        <v>-1.4422950000000001</v>
      </c>
      <c r="S552" s="4">
        <v>-0.40121600000000002</v>
      </c>
      <c r="T552" s="4">
        <v>2.0102609999999999</v>
      </c>
    </row>
    <row r="553" spans="1:20" ht="18">
      <c r="A553" s="2">
        <f t="shared" si="104"/>
        <v>552</v>
      </c>
      <c r="B553" s="7" t="s">
        <v>1097</v>
      </c>
      <c r="I553" s="15" t="s">
        <v>573</v>
      </c>
      <c r="J553" s="15">
        <v>551</v>
      </c>
      <c r="K553" s="4">
        <v>-0.67858499999999999</v>
      </c>
      <c r="L553" s="4">
        <v>-0.96824200000000005</v>
      </c>
      <c r="M553" s="4">
        <v>-0.34817900000000002</v>
      </c>
      <c r="N553" s="4">
        <v>-0.138961</v>
      </c>
      <c r="O553" s="4">
        <v>0.32669700000000002</v>
      </c>
      <c r="P553" s="4">
        <v>-0.769293</v>
      </c>
      <c r="Q553" s="4">
        <v>3.6435000000000002E-2</v>
      </c>
      <c r="R553" s="4">
        <v>-0.15842600000000001</v>
      </c>
      <c r="S553" s="4">
        <v>0.92109300000000005</v>
      </c>
      <c r="T553" s="4">
        <v>1.7950330000000001</v>
      </c>
    </row>
    <row r="554" spans="1:20" ht="18">
      <c r="A554" s="2">
        <f t="shared" si="104"/>
        <v>553</v>
      </c>
      <c r="B554" s="7" t="s">
        <v>1098</v>
      </c>
      <c r="I554" s="15" t="s">
        <v>574</v>
      </c>
      <c r="J554" s="15">
        <v>552</v>
      </c>
      <c r="K554" s="4">
        <v>0.929064</v>
      </c>
      <c r="L554" s="4">
        <v>0.82222600000000001</v>
      </c>
      <c r="M554" s="4">
        <v>5.8205E-2</v>
      </c>
      <c r="N554" s="4">
        <v>1.5355129999999999</v>
      </c>
      <c r="O554" s="4">
        <v>-0.62141800000000003</v>
      </c>
      <c r="P554" s="4">
        <v>5.3950999999999999E-2</v>
      </c>
      <c r="Q554" s="4">
        <v>-1.5274540000000001</v>
      </c>
      <c r="R554" s="4">
        <v>-0.16616300000000001</v>
      </c>
      <c r="S554" s="4">
        <v>0.66427000000000003</v>
      </c>
      <c r="T554" s="4">
        <v>0.50606700000000004</v>
      </c>
    </row>
    <row r="555" spans="1:20" ht="18">
      <c r="A555" s="2">
        <f t="shared" si="104"/>
        <v>554</v>
      </c>
      <c r="B555" s="7" t="s">
        <v>1099</v>
      </c>
      <c r="I555" s="15" t="s">
        <v>575</v>
      </c>
      <c r="J555" s="15">
        <v>553</v>
      </c>
      <c r="K555" s="4">
        <v>0.727016</v>
      </c>
      <c r="L555" s="4">
        <v>-8.4290000000000007E-3</v>
      </c>
      <c r="M555" s="4">
        <v>-1.6057790000000001</v>
      </c>
      <c r="N555" s="4">
        <v>-1.272797</v>
      </c>
      <c r="O555" s="4">
        <v>-0.19528000000000001</v>
      </c>
      <c r="P555" s="4">
        <v>-1.3600209999999999</v>
      </c>
      <c r="Q555" s="4">
        <v>-1.604822</v>
      </c>
      <c r="R555" s="4">
        <v>0.127166</v>
      </c>
      <c r="S555" s="4">
        <v>-6.3509999999999999E-3</v>
      </c>
      <c r="T555" s="4">
        <v>0.19172600000000001</v>
      </c>
    </row>
    <row r="556" spans="1:20" ht="18">
      <c r="A556" s="2">
        <f t="shared" si="104"/>
        <v>555</v>
      </c>
      <c r="B556" s="7" t="s">
        <v>1100</v>
      </c>
      <c r="I556" s="15" t="s">
        <v>576</v>
      </c>
      <c r="J556" s="15">
        <v>554</v>
      </c>
      <c r="K556" s="4">
        <v>-0.96079199999999998</v>
      </c>
      <c r="L556" s="4">
        <v>-0.117603</v>
      </c>
      <c r="M556" s="4">
        <v>-4.5484999999999998E-2</v>
      </c>
      <c r="N556" s="4">
        <v>0.25792700000000002</v>
      </c>
      <c r="O556" s="4">
        <v>-0.67446099999999998</v>
      </c>
      <c r="P556" s="4">
        <v>-0.52764200000000006</v>
      </c>
      <c r="Q556" s="4">
        <v>-1.525414</v>
      </c>
      <c r="R556" s="4">
        <v>7.4754000000000001E-2</v>
      </c>
      <c r="S556" s="4">
        <v>-0.87768500000000005</v>
      </c>
      <c r="T556" s="4">
        <v>-0.78300499999999995</v>
      </c>
    </row>
    <row r="557" spans="1:20" ht="18">
      <c r="A557" s="2">
        <f t="shared" si="104"/>
        <v>556</v>
      </c>
      <c r="B557" s="7" t="s">
        <v>1101</v>
      </c>
      <c r="I557" s="15" t="s">
        <v>577</v>
      </c>
      <c r="J557" s="15">
        <v>555</v>
      </c>
      <c r="K557" s="4">
        <v>1.0444199999999999</v>
      </c>
      <c r="L557" s="4">
        <v>-1.1046530000000001</v>
      </c>
      <c r="M557" s="4">
        <v>1.5059549999999999</v>
      </c>
      <c r="N557" s="4">
        <v>-0.13591200000000001</v>
      </c>
      <c r="O557" s="4">
        <v>-1.4029430000000001</v>
      </c>
      <c r="P557" s="4">
        <v>-0.23607900000000001</v>
      </c>
      <c r="Q557" s="4">
        <v>0.61292999999999997</v>
      </c>
      <c r="R557" s="4">
        <v>1.339774</v>
      </c>
      <c r="S557" s="4">
        <v>-1.1497470000000001</v>
      </c>
      <c r="T557" s="4">
        <v>3.4140999999999998E-2</v>
      </c>
    </row>
    <row r="558" spans="1:20" ht="18">
      <c r="A558" s="2">
        <f t="shared" si="104"/>
        <v>557</v>
      </c>
      <c r="B558" s="7" t="s">
        <v>1102</v>
      </c>
      <c r="I558" s="15" t="s">
        <v>22</v>
      </c>
      <c r="J558" s="15">
        <v>556</v>
      </c>
      <c r="K558" s="4">
        <v>0.42604599999999998</v>
      </c>
      <c r="L558" s="4">
        <v>-2.0790690000000001</v>
      </c>
      <c r="M558" s="4">
        <v>0.351659</v>
      </c>
      <c r="N558" s="4">
        <v>4.8078999999999997E-2</v>
      </c>
      <c r="O558" s="4">
        <v>-2.4877099999999999</v>
      </c>
      <c r="P558" s="4">
        <v>-0.63914499999999996</v>
      </c>
      <c r="Q558" s="4">
        <v>-1.5085550000000001</v>
      </c>
      <c r="R558" s="4">
        <v>-0.107576</v>
      </c>
      <c r="S558" s="4">
        <v>-0.66236300000000004</v>
      </c>
      <c r="T558" s="4">
        <v>-0.39932699999999999</v>
      </c>
    </row>
    <row r="559" spans="1:20" ht="18">
      <c r="A559" s="2">
        <f t="shared" si="104"/>
        <v>558</v>
      </c>
      <c r="B559" s="7" t="s">
        <v>1103</v>
      </c>
      <c r="I559" s="15" t="s">
        <v>578</v>
      </c>
      <c r="J559" s="15">
        <v>557</v>
      </c>
      <c r="K559" s="4">
        <v>-7.2877999999999998E-2</v>
      </c>
      <c r="L559" s="4">
        <v>1.892568</v>
      </c>
      <c r="M559" s="4">
        <v>0.27135199999999998</v>
      </c>
      <c r="N559" s="4">
        <v>-0.875336</v>
      </c>
      <c r="O559" s="4">
        <v>-0.48596800000000001</v>
      </c>
      <c r="P559" s="4">
        <v>1.8976869999999999</v>
      </c>
      <c r="Q559" s="4">
        <v>-0.32841399999999998</v>
      </c>
      <c r="R559" s="4">
        <v>-0.18143400000000001</v>
      </c>
      <c r="S559" s="4">
        <v>-0.25134200000000001</v>
      </c>
      <c r="T559" s="4">
        <v>0.99964200000000003</v>
      </c>
    </row>
    <row r="560" spans="1:20" ht="18">
      <c r="A560" s="2">
        <f t="shared" si="104"/>
        <v>559</v>
      </c>
      <c r="B560" s="7" t="s">
        <v>1104</v>
      </c>
      <c r="I560" s="15" t="s">
        <v>579</v>
      </c>
      <c r="J560" s="15">
        <v>558</v>
      </c>
      <c r="K560" s="4">
        <v>-0.126691</v>
      </c>
      <c r="L560" s="4">
        <v>-6.0880999999999998E-2</v>
      </c>
      <c r="M560" s="4">
        <v>-0.98359600000000003</v>
      </c>
      <c r="N560" s="4">
        <v>-5.5091000000000001E-2</v>
      </c>
      <c r="O560" s="4">
        <v>-1.004308</v>
      </c>
      <c r="P560" s="4">
        <v>-1.9710179999999999</v>
      </c>
      <c r="Q560" s="4">
        <v>1.95326</v>
      </c>
      <c r="R560" s="4">
        <v>-0.86369499999999999</v>
      </c>
      <c r="S560" s="4">
        <v>-0.33696900000000002</v>
      </c>
      <c r="T560" s="4">
        <v>1.652344</v>
      </c>
    </row>
    <row r="561" spans="1:20" ht="18">
      <c r="A561" s="2">
        <f t="shared" si="104"/>
        <v>560</v>
      </c>
      <c r="B561" s="7" t="s">
        <v>1105</v>
      </c>
      <c r="I561" s="15" t="s">
        <v>580</v>
      </c>
      <c r="J561" s="15">
        <v>559</v>
      </c>
      <c r="K561" s="4">
        <v>-1.3425640000000001</v>
      </c>
      <c r="L561" s="4">
        <v>0.53574900000000003</v>
      </c>
      <c r="M561" s="4">
        <v>-7.5574000000000002E-2</v>
      </c>
      <c r="N561" s="4">
        <v>0.599831</v>
      </c>
      <c r="O561" s="4">
        <v>-0.530138</v>
      </c>
      <c r="P561" s="4">
        <v>0.175756</v>
      </c>
      <c r="Q561" s="4">
        <v>0.51938300000000004</v>
      </c>
      <c r="R561" s="4">
        <v>2.0320279999999999</v>
      </c>
      <c r="S561" s="4">
        <v>-0.33039099999999999</v>
      </c>
      <c r="T561" s="4">
        <v>-0.589314</v>
      </c>
    </row>
    <row r="562" spans="1:20" ht="18">
      <c r="A562" s="2">
        <f t="shared" si="104"/>
        <v>561</v>
      </c>
      <c r="B562" s="7" t="s">
        <v>1106</v>
      </c>
      <c r="I562" s="15" t="s">
        <v>581</v>
      </c>
      <c r="J562" s="15">
        <v>560</v>
      </c>
      <c r="K562" s="4">
        <v>-0.71153</v>
      </c>
      <c r="L562" s="4">
        <v>0.35520600000000002</v>
      </c>
      <c r="M562" s="4">
        <v>-0.182287</v>
      </c>
      <c r="N562" s="4">
        <v>0.68340000000000001</v>
      </c>
      <c r="O562" s="4">
        <v>4.5605E-2</v>
      </c>
      <c r="P562" s="4">
        <v>-0.41982399999999997</v>
      </c>
      <c r="Q562" s="4">
        <v>-0.34959600000000002</v>
      </c>
      <c r="R562" s="4">
        <v>0.72047300000000003</v>
      </c>
      <c r="S562" s="4">
        <v>5.8251999999999998E-2</v>
      </c>
      <c r="T562" s="4">
        <v>-0.65268599999999999</v>
      </c>
    </row>
    <row r="563" spans="1:20" ht="18">
      <c r="A563" s="2">
        <f t="shared" si="104"/>
        <v>562</v>
      </c>
      <c r="B563" s="7" t="s">
        <v>1107</v>
      </c>
      <c r="I563" s="15" t="s">
        <v>582</v>
      </c>
      <c r="J563" s="15">
        <v>561</v>
      </c>
      <c r="K563" s="4">
        <v>1.4316000000000001E-2</v>
      </c>
      <c r="L563" s="4">
        <v>0.15672800000000001</v>
      </c>
      <c r="M563" s="4">
        <v>-0.19516800000000001</v>
      </c>
      <c r="N563" s="4">
        <v>-1.126649</v>
      </c>
      <c r="O563" s="4">
        <v>0.735294</v>
      </c>
      <c r="P563" s="4">
        <v>0.60438800000000004</v>
      </c>
      <c r="Q563" s="4">
        <v>-9.0312000000000003E-2</v>
      </c>
      <c r="R563" s="4">
        <v>1.87774</v>
      </c>
      <c r="S563" s="4">
        <v>1.8104690000000001</v>
      </c>
      <c r="T563" s="4">
        <v>-5.2964999999999998E-2</v>
      </c>
    </row>
    <row r="564" spans="1:20" ht="18">
      <c r="A564" s="2">
        <f t="shared" si="104"/>
        <v>563</v>
      </c>
      <c r="B564" s="7" t="s">
        <v>1108</v>
      </c>
      <c r="I564" s="15" t="s">
        <v>583</v>
      </c>
      <c r="J564" s="15">
        <v>562</v>
      </c>
      <c r="K564" s="4">
        <v>3.1373999999999999E-2</v>
      </c>
      <c r="L564" s="4">
        <v>-0.208096</v>
      </c>
      <c r="M564" s="4">
        <v>-0.33975300000000003</v>
      </c>
      <c r="N564" s="4">
        <v>1.8466469999999999</v>
      </c>
      <c r="O564" s="4">
        <v>0.74796399999999996</v>
      </c>
      <c r="P564" s="4">
        <v>0.50921400000000006</v>
      </c>
      <c r="Q564" s="4">
        <v>0.70617799999999997</v>
      </c>
      <c r="R564" s="4">
        <v>-1.3930309999999999</v>
      </c>
      <c r="S564" s="4">
        <v>3.6607000000000001E-2</v>
      </c>
      <c r="T564" s="4">
        <v>-1.122455</v>
      </c>
    </row>
    <row r="565" spans="1:20" ht="18">
      <c r="A565" s="2">
        <f t="shared" si="104"/>
        <v>564</v>
      </c>
      <c r="B565" s="7" t="s">
        <v>1109</v>
      </c>
      <c r="I565" s="15" t="s">
        <v>584</v>
      </c>
      <c r="J565" s="15">
        <v>563</v>
      </c>
      <c r="K565" s="4">
        <v>0.17121500000000001</v>
      </c>
      <c r="L565" s="4">
        <v>4.2317E-2</v>
      </c>
      <c r="M565" s="4">
        <v>-8.3834000000000006E-2</v>
      </c>
      <c r="N565" s="4">
        <v>-0.64915999999999996</v>
      </c>
      <c r="O565" s="4">
        <v>8.3646999999999999E-2</v>
      </c>
      <c r="P565" s="4">
        <v>0.49308299999999999</v>
      </c>
      <c r="Q565" s="4">
        <v>-0.66468300000000002</v>
      </c>
      <c r="R565" s="4">
        <v>-1.063626</v>
      </c>
      <c r="S565" s="4">
        <v>1.6811849999999999</v>
      </c>
      <c r="T565" s="4">
        <v>1.30836</v>
      </c>
    </row>
    <row r="566" spans="1:20" ht="18">
      <c r="A566" s="2">
        <f t="shared" si="104"/>
        <v>565</v>
      </c>
      <c r="B566" s="7" t="s">
        <v>1110</v>
      </c>
      <c r="I566" s="15" t="s">
        <v>585</v>
      </c>
      <c r="J566" s="15">
        <v>564</v>
      </c>
      <c r="K566" s="4">
        <v>-2.1993969999999998</v>
      </c>
      <c r="L566" s="4">
        <v>-0.31121100000000002</v>
      </c>
      <c r="M566" s="4">
        <v>-0.43816100000000002</v>
      </c>
      <c r="N566" s="4">
        <v>-0.68781899999999996</v>
      </c>
      <c r="O566" s="4">
        <v>-1.147761</v>
      </c>
      <c r="P566" s="4">
        <v>-0.43313400000000002</v>
      </c>
      <c r="Q566" s="4">
        <v>-1.436607</v>
      </c>
      <c r="R566" s="4">
        <v>-0.97712299999999996</v>
      </c>
      <c r="S566" s="4">
        <v>0.33360899999999999</v>
      </c>
      <c r="T566" s="4">
        <v>2.0702999999999999E-2</v>
      </c>
    </row>
    <row r="567" spans="1:20" ht="18">
      <c r="A567" s="2">
        <f t="shared" si="104"/>
        <v>566</v>
      </c>
      <c r="B567" s="7" t="s">
        <v>1111</v>
      </c>
      <c r="I567" s="15" t="s">
        <v>586</v>
      </c>
      <c r="J567" s="15">
        <v>565</v>
      </c>
      <c r="K567" s="4">
        <v>-1.136091</v>
      </c>
      <c r="L567" s="4">
        <v>-1.952639</v>
      </c>
      <c r="M567" s="4">
        <v>0.74324199999999996</v>
      </c>
      <c r="N567" s="4">
        <v>0.70516000000000001</v>
      </c>
      <c r="O567" s="4">
        <v>-0.41259400000000002</v>
      </c>
      <c r="P567" s="4">
        <v>-0.36194199999999999</v>
      </c>
      <c r="Q567" s="4">
        <v>0.45875899999999997</v>
      </c>
      <c r="R567" s="4">
        <v>-0.61178200000000005</v>
      </c>
      <c r="S567" s="4">
        <v>-1.129964</v>
      </c>
      <c r="T567" s="4">
        <v>1.4545790000000001</v>
      </c>
    </row>
    <row r="568" spans="1:20" ht="18">
      <c r="A568" s="2">
        <f t="shared" si="104"/>
        <v>567</v>
      </c>
      <c r="B568" s="7" t="s">
        <v>1112</v>
      </c>
      <c r="I568" s="15" t="s">
        <v>587</v>
      </c>
      <c r="J568" s="15">
        <v>566</v>
      </c>
      <c r="K568" s="4">
        <v>-0.71041299999999996</v>
      </c>
      <c r="L568" s="4">
        <v>-0.28357300000000002</v>
      </c>
      <c r="M568" s="4">
        <v>-1.777833</v>
      </c>
      <c r="N568" s="4">
        <v>-0.10366499999999999</v>
      </c>
      <c r="O568" s="4">
        <v>0.380164</v>
      </c>
      <c r="P568" s="4">
        <v>1.626463</v>
      </c>
      <c r="Q568" s="4">
        <v>0.46053699999999997</v>
      </c>
      <c r="R568" s="4">
        <v>1.6777420000000001</v>
      </c>
      <c r="S568" s="4">
        <v>1.7195240000000001</v>
      </c>
      <c r="T568" s="4">
        <v>-0.74722</v>
      </c>
    </row>
    <row r="569" spans="1:20" ht="18">
      <c r="A569" s="2">
        <f t="shared" si="104"/>
        <v>568</v>
      </c>
      <c r="B569" s="7" t="s">
        <v>1113</v>
      </c>
      <c r="I569" s="15" t="s">
        <v>588</v>
      </c>
      <c r="J569" s="15">
        <v>567</v>
      </c>
      <c r="K569" s="4">
        <v>-0.46317599999999998</v>
      </c>
      <c r="L569" s="4">
        <v>0.661381</v>
      </c>
      <c r="M569" s="4">
        <v>-0.31943100000000002</v>
      </c>
      <c r="N569" s="4">
        <v>-1.078355</v>
      </c>
      <c r="O569" s="4">
        <v>-0.17332800000000001</v>
      </c>
      <c r="P569" s="4">
        <v>-1.255627</v>
      </c>
      <c r="Q569" s="4">
        <v>2.9912999999999999E-2</v>
      </c>
      <c r="R569" s="4">
        <v>0.11885900000000001</v>
      </c>
      <c r="S569" s="4">
        <v>0.74946800000000002</v>
      </c>
      <c r="T569" s="4">
        <v>0.52220699999999998</v>
      </c>
    </row>
    <row r="570" spans="1:20" ht="18">
      <c r="A570" s="2">
        <f t="shared" si="104"/>
        <v>569</v>
      </c>
      <c r="B570" s="7" t="s">
        <v>1114</v>
      </c>
      <c r="I570" s="15" t="s">
        <v>589</v>
      </c>
      <c r="J570" s="15">
        <v>568</v>
      </c>
      <c r="K570" s="4">
        <v>-1.128341</v>
      </c>
      <c r="L570" s="4">
        <v>-1.368425</v>
      </c>
      <c r="M570" s="4">
        <v>1.7362120000000001</v>
      </c>
      <c r="N570" s="4">
        <v>0.636575</v>
      </c>
      <c r="O570" s="4">
        <v>-0.59598300000000004</v>
      </c>
      <c r="P570" s="4">
        <v>0.41355700000000001</v>
      </c>
      <c r="Q570" s="4">
        <v>1.6428450000000001</v>
      </c>
      <c r="R570" s="4">
        <v>4.224E-2</v>
      </c>
      <c r="S570" s="4">
        <v>0.71240899999999996</v>
      </c>
      <c r="T570" s="4">
        <v>1.1565380000000001</v>
      </c>
    </row>
    <row r="571" spans="1:20" ht="18">
      <c r="A571" s="2">
        <f t="shared" si="104"/>
        <v>570</v>
      </c>
      <c r="B571" s="7" t="s">
        <v>1115</v>
      </c>
      <c r="I571" s="15" t="s">
        <v>590</v>
      </c>
      <c r="J571" s="15">
        <v>569</v>
      </c>
      <c r="K571" s="4">
        <v>0.73276600000000003</v>
      </c>
      <c r="L571" s="4">
        <v>-0.77599899999999999</v>
      </c>
      <c r="M571" s="4">
        <v>-0.93287100000000001</v>
      </c>
      <c r="N571" s="4">
        <v>0.71869499999999997</v>
      </c>
      <c r="O571" s="4">
        <v>-1.8121940000000001</v>
      </c>
      <c r="P571" s="4">
        <v>0.94011599999999995</v>
      </c>
      <c r="Q571" s="4">
        <v>1.054319</v>
      </c>
      <c r="R571" s="4">
        <v>1.0266980000000001</v>
      </c>
      <c r="S571" s="4">
        <v>-7.4845999999999996E-2</v>
      </c>
      <c r="T571" s="4">
        <v>0.119322</v>
      </c>
    </row>
    <row r="572" spans="1:20" ht="18">
      <c r="A572" s="2">
        <f t="shared" si="104"/>
        <v>571</v>
      </c>
      <c r="B572" s="7" t="s">
        <v>1116</v>
      </c>
      <c r="I572" s="15" t="s">
        <v>591</v>
      </c>
      <c r="J572" s="15">
        <v>570</v>
      </c>
      <c r="K572" s="4">
        <v>-0.78853300000000004</v>
      </c>
      <c r="L572" s="4">
        <v>0.57269599999999998</v>
      </c>
      <c r="M572" s="4">
        <v>2.2363420000000001</v>
      </c>
      <c r="N572" s="4">
        <v>-1.4932300000000001</v>
      </c>
      <c r="O572" s="4">
        <v>-0.61116099999999995</v>
      </c>
      <c r="P572" s="4">
        <v>-0.64387899999999998</v>
      </c>
      <c r="Q572" s="4">
        <v>4.5164999999999997E-2</v>
      </c>
      <c r="R572" s="4">
        <v>-0.35880699999999999</v>
      </c>
      <c r="S572" s="4">
        <v>-0.68745400000000001</v>
      </c>
      <c r="T572" s="4">
        <v>2.3250099999999998</v>
      </c>
    </row>
    <row r="573" spans="1:20" ht="18">
      <c r="A573" s="2">
        <f t="shared" si="104"/>
        <v>572</v>
      </c>
      <c r="B573" s="7" t="s">
        <v>1117</v>
      </c>
      <c r="I573" s="15" t="s">
        <v>592</v>
      </c>
      <c r="J573" s="15">
        <v>571</v>
      </c>
      <c r="K573" s="4">
        <v>1.7119930000000001</v>
      </c>
      <c r="L573" s="4">
        <v>1.561483</v>
      </c>
      <c r="M573" s="4">
        <v>2.7470999999999999E-2</v>
      </c>
      <c r="N573" s="4">
        <v>-1.412067</v>
      </c>
      <c r="O573" s="4">
        <v>0.80108500000000005</v>
      </c>
      <c r="P573" s="4">
        <v>-1.775242</v>
      </c>
      <c r="Q573" s="4">
        <v>2.550033</v>
      </c>
      <c r="R573" s="4">
        <v>2.0712899999999999</v>
      </c>
      <c r="S573" s="4">
        <v>1.0357050000000001</v>
      </c>
      <c r="T573" s="4">
        <v>-0.58599999999999997</v>
      </c>
    </row>
    <row r="574" spans="1:20" ht="18">
      <c r="A574" s="2">
        <f t="shared" si="104"/>
        <v>573</v>
      </c>
      <c r="B574" s="7" t="s">
        <v>1118</v>
      </c>
      <c r="I574" s="15" t="s">
        <v>593</v>
      </c>
      <c r="J574" s="15">
        <v>572</v>
      </c>
      <c r="K574" s="4">
        <v>-0.93322400000000005</v>
      </c>
      <c r="L574" s="4">
        <v>-0.63270899999999997</v>
      </c>
      <c r="M574" s="4">
        <v>0.2213</v>
      </c>
      <c r="N574" s="4">
        <v>-0.67877299999999996</v>
      </c>
      <c r="O574" s="4">
        <v>-0.49083100000000002</v>
      </c>
      <c r="P574" s="4">
        <v>1.3257369999999999</v>
      </c>
      <c r="Q574" s="4">
        <v>1.377526</v>
      </c>
      <c r="R574" s="4">
        <v>0.48302299999999998</v>
      </c>
      <c r="S574" s="4">
        <v>0.36752299999999999</v>
      </c>
      <c r="T574" s="4">
        <v>-1.164374</v>
      </c>
    </row>
    <row r="575" spans="1:20" ht="18">
      <c r="A575" s="2">
        <f t="shared" si="104"/>
        <v>574</v>
      </c>
      <c r="B575" s="7" t="s">
        <v>1119</v>
      </c>
      <c r="I575" s="15" t="s">
        <v>594</v>
      </c>
      <c r="J575" s="15">
        <v>573</v>
      </c>
      <c r="K575" s="4">
        <v>0.75039100000000003</v>
      </c>
      <c r="L575" s="4">
        <v>2.1063399999999999</v>
      </c>
      <c r="M575" s="4">
        <v>0.68128900000000003</v>
      </c>
      <c r="N575" s="4">
        <v>1.4372560000000001</v>
      </c>
      <c r="O575" s="4">
        <v>0.25450699999999998</v>
      </c>
      <c r="P575" s="4">
        <v>-0.24002599999999999</v>
      </c>
      <c r="Q575" s="4">
        <v>-0.73732399999999998</v>
      </c>
      <c r="R575" s="4">
        <v>-0.48094500000000001</v>
      </c>
      <c r="S575" s="4">
        <v>1.81054</v>
      </c>
      <c r="T575" s="4">
        <v>0.25830999999999998</v>
      </c>
    </row>
    <row r="576" spans="1:20" ht="18">
      <c r="A576" s="2">
        <f t="shared" si="104"/>
        <v>575</v>
      </c>
      <c r="B576" s="7" t="s">
        <v>1120</v>
      </c>
      <c r="I576" s="15" t="s">
        <v>595</v>
      </c>
      <c r="J576" s="15">
        <v>574</v>
      </c>
      <c r="K576" s="4">
        <v>0.67052299999999998</v>
      </c>
      <c r="L576" s="4">
        <v>1.0612029999999999</v>
      </c>
      <c r="M576" s="4">
        <v>0.206315</v>
      </c>
      <c r="N576" s="4">
        <v>-0.64094399999999996</v>
      </c>
      <c r="O576" s="4">
        <v>1.3796010000000001</v>
      </c>
      <c r="P576" s="4">
        <v>1.0985259999999999</v>
      </c>
      <c r="Q576" s="4">
        <v>-0.79308299999999998</v>
      </c>
      <c r="R576" s="4">
        <v>0.82598199999999999</v>
      </c>
      <c r="S576" s="4">
        <v>0.53938200000000003</v>
      </c>
      <c r="T576" s="4">
        <v>-1.147259</v>
      </c>
    </row>
    <row r="577" spans="1:20" ht="18">
      <c r="A577" s="2">
        <f t="shared" si="104"/>
        <v>576</v>
      </c>
      <c r="B577" s="7" t="s">
        <v>1121</v>
      </c>
      <c r="I577" s="15" t="s">
        <v>596</v>
      </c>
      <c r="J577" s="15">
        <v>575</v>
      </c>
      <c r="K577" s="4">
        <v>-1.7973840000000001</v>
      </c>
      <c r="L577" s="4">
        <v>1.1567080000000001</v>
      </c>
      <c r="M577" s="4">
        <v>-0.76955300000000004</v>
      </c>
      <c r="N577" s="4">
        <v>0.56778499999999998</v>
      </c>
      <c r="O577" s="4">
        <v>-1.7203809999999999</v>
      </c>
      <c r="P577" s="4">
        <v>-1.9769209999999999</v>
      </c>
      <c r="Q577" s="4">
        <v>2.2863000000000001E-2</v>
      </c>
      <c r="R577" s="4">
        <v>-0.121527</v>
      </c>
      <c r="S577" s="4">
        <v>0.23399200000000001</v>
      </c>
      <c r="T577" s="4">
        <v>-0.35357899999999998</v>
      </c>
    </row>
    <row r="578" spans="1:20" ht="18">
      <c r="A578" s="2">
        <f t="shared" si="104"/>
        <v>577</v>
      </c>
      <c r="B578" s="7" t="s">
        <v>1122</v>
      </c>
      <c r="I578" s="15" t="s">
        <v>597</v>
      </c>
      <c r="J578" s="15">
        <v>576</v>
      </c>
      <c r="K578" s="4">
        <v>-8.2562999999999998E-2</v>
      </c>
      <c r="L578" s="4">
        <v>0.85454200000000002</v>
      </c>
      <c r="M578" s="4">
        <v>-0.42994700000000002</v>
      </c>
      <c r="N578" s="4">
        <v>1.6190199999999999</v>
      </c>
      <c r="O578" s="4">
        <v>0.83545700000000001</v>
      </c>
      <c r="P578" s="4">
        <v>-0.49503200000000003</v>
      </c>
      <c r="Q578" s="4">
        <v>-4.2106999999999999E-2</v>
      </c>
      <c r="R578" s="4">
        <v>4.5135000000000002E-2</v>
      </c>
      <c r="S578" s="4">
        <v>-0.61290599999999995</v>
      </c>
      <c r="T578" s="4">
        <v>-0.122614</v>
      </c>
    </row>
    <row r="579" spans="1:20" ht="18">
      <c r="A579" s="2">
        <f t="shared" ref="A579:A642" si="105">ROW()-1</f>
        <v>578</v>
      </c>
      <c r="B579" s="7" t="s">
        <v>1123</v>
      </c>
      <c r="I579" s="15" t="s">
        <v>598</v>
      </c>
      <c r="J579" s="15">
        <v>577</v>
      </c>
      <c r="K579" s="4">
        <v>-0.14943500000000001</v>
      </c>
      <c r="L579" s="4">
        <v>1.097871</v>
      </c>
      <c r="M579" s="4">
        <v>-0.44084800000000002</v>
      </c>
      <c r="N579" s="4">
        <v>-0.96775599999999995</v>
      </c>
      <c r="O579" s="4">
        <v>-1.6004579999999999</v>
      </c>
      <c r="P579" s="4">
        <v>0.89911399999999997</v>
      </c>
      <c r="Q579" s="4">
        <v>7.7171000000000003E-2</v>
      </c>
      <c r="R579" s="4">
        <v>0.13317399999999999</v>
      </c>
      <c r="S579" s="4">
        <v>-0.144956</v>
      </c>
      <c r="T579" s="4">
        <v>-1.0719650000000001</v>
      </c>
    </row>
    <row r="580" spans="1:20" ht="18">
      <c r="A580" s="2">
        <f t="shared" si="105"/>
        <v>579</v>
      </c>
      <c r="B580" s="7" t="s">
        <v>1124</v>
      </c>
      <c r="I580" s="15" t="s">
        <v>599</v>
      </c>
      <c r="J580" s="15">
        <v>578</v>
      </c>
      <c r="K580" s="4">
        <v>-0.55188000000000004</v>
      </c>
      <c r="L580" s="4">
        <v>-4.7833000000000001E-2</v>
      </c>
      <c r="M580" s="4">
        <v>2.266019</v>
      </c>
      <c r="N580" s="4">
        <v>2.473481</v>
      </c>
      <c r="O580" s="4">
        <v>0.93401100000000004</v>
      </c>
      <c r="P580" s="4">
        <v>-0.146124</v>
      </c>
      <c r="Q580" s="4">
        <v>0.30532999999999999</v>
      </c>
      <c r="R580" s="4">
        <v>9.6606999999999998E-2</v>
      </c>
      <c r="S580" s="4">
        <v>-0.65647599999999995</v>
      </c>
      <c r="T580" s="4">
        <v>-7.7168E-2</v>
      </c>
    </row>
    <row r="581" spans="1:20" ht="18">
      <c r="A581" s="2">
        <f t="shared" si="105"/>
        <v>580</v>
      </c>
      <c r="B581" s="7" t="s">
        <v>1125</v>
      </c>
      <c r="I581" s="15" t="s">
        <v>600</v>
      </c>
      <c r="J581" s="15">
        <v>579</v>
      </c>
      <c r="K581" s="4">
        <v>0.75474600000000003</v>
      </c>
      <c r="L581" s="4">
        <v>-0.71095699999999995</v>
      </c>
      <c r="M581" s="4">
        <v>1.0033909999999999</v>
      </c>
      <c r="N581" s="4">
        <v>-0.72165100000000004</v>
      </c>
      <c r="O581" s="4">
        <v>-2.0649000000000001E-2</v>
      </c>
      <c r="P581" s="4">
        <v>0.53814399999999996</v>
      </c>
      <c r="Q581" s="4">
        <v>0.99981299999999995</v>
      </c>
      <c r="R581" s="4">
        <v>-0.48780899999999999</v>
      </c>
      <c r="S581" s="4">
        <v>-0.80754099999999995</v>
      </c>
      <c r="T581" s="4">
        <v>-0.80502099999999999</v>
      </c>
    </row>
    <row r="582" spans="1:20" ht="18">
      <c r="A582" s="2">
        <f t="shared" si="105"/>
        <v>581</v>
      </c>
      <c r="B582" s="7" t="s">
        <v>1126</v>
      </c>
      <c r="I582" s="15" t="s">
        <v>601</v>
      </c>
      <c r="J582" s="15">
        <v>580</v>
      </c>
      <c r="K582" s="4">
        <v>1.4701960000000001</v>
      </c>
      <c r="L582" s="4">
        <v>-0.20533699999999999</v>
      </c>
      <c r="M582" s="4">
        <v>0.51883800000000002</v>
      </c>
      <c r="N582" s="4">
        <v>-1.097173</v>
      </c>
      <c r="O582" s="4">
        <v>-0.80316500000000002</v>
      </c>
      <c r="P582" s="4">
        <v>-0.804616</v>
      </c>
      <c r="Q582" s="4">
        <v>-1.4770209999999999</v>
      </c>
      <c r="R582" s="4">
        <v>0.60417299999999996</v>
      </c>
      <c r="S582" s="4">
        <v>-1.1442030000000001</v>
      </c>
      <c r="T582" s="4">
        <v>-0.118078</v>
      </c>
    </row>
    <row r="583" spans="1:20" ht="18">
      <c r="A583" s="2">
        <f t="shared" si="105"/>
        <v>582</v>
      </c>
      <c r="B583" s="7" t="s">
        <v>1127</v>
      </c>
      <c r="I583" s="15" t="s">
        <v>602</v>
      </c>
      <c r="J583" s="15">
        <v>581</v>
      </c>
      <c r="K583" s="4">
        <v>-0.46762300000000001</v>
      </c>
      <c r="L583" s="4">
        <v>0.55243900000000001</v>
      </c>
      <c r="M583" s="4">
        <v>-0.75742399999999999</v>
      </c>
      <c r="N583" s="4">
        <v>2.5686550000000001</v>
      </c>
      <c r="O583" s="4">
        <v>0.92515700000000001</v>
      </c>
      <c r="P583" s="4">
        <v>0.31293300000000002</v>
      </c>
      <c r="Q583" s="4">
        <v>-1.7431399999999999</v>
      </c>
      <c r="R583" s="4">
        <v>-2.3690699999999998</v>
      </c>
      <c r="S583" s="4">
        <v>1.4642390000000001</v>
      </c>
      <c r="T583" s="4">
        <v>1.9857549999999999</v>
      </c>
    </row>
    <row r="584" spans="1:20" ht="18">
      <c r="A584" s="2">
        <f t="shared" si="105"/>
        <v>583</v>
      </c>
      <c r="B584" s="7" t="s">
        <v>1128</v>
      </c>
      <c r="I584" s="15" t="s">
        <v>603</v>
      </c>
      <c r="J584" s="15">
        <v>582</v>
      </c>
      <c r="K584" s="4">
        <v>0.56654400000000005</v>
      </c>
      <c r="L584" s="4">
        <v>-1.076398</v>
      </c>
      <c r="M584" s="4">
        <v>1.7843389999999999</v>
      </c>
      <c r="N584" s="4">
        <v>-1.001835</v>
      </c>
      <c r="O584" s="4">
        <v>0.67730999999999997</v>
      </c>
      <c r="P584" s="4">
        <v>0.73252799999999996</v>
      </c>
      <c r="Q584" s="4">
        <v>-0.32491700000000001</v>
      </c>
      <c r="R584" s="4">
        <v>0.99417</v>
      </c>
      <c r="S584" s="4">
        <v>-0.27172499999999999</v>
      </c>
      <c r="T584" s="4">
        <v>0.237484</v>
      </c>
    </row>
    <row r="585" spans="1:20" ht="18">
      <c r="A585" s="2">
        <f t="shared" si="105"/>
        <v>584</v>
      </c>
      <c r="B585" s="7" t="s">
        <v>1129</v>
      </c>
      <c r="I585" s="15" t="s">
        <v>604</v>
      </c>
      <c r="J585" s="15">
        <v>583</v>
      </c>
      <c r="K585" s="4">
        <v>-0.61113499999999998</v>
      </c>
      <c r="L585" s="4">
        <v>2.1696E-2</v>
      </c>
      <c r="M585" s="4">
        <v>1.0326519999999999</v>
      </c>
      <c r="N585" s="4">
        <v>-0.162165</v>
      </c>
      <c r="O585" s="4">
        <v>1.0499799999999999</v>
      </c>
      <c r="P585" s="4">
        <v>0.39527899999999999</v>
      </c>
      <c r="Q585" s="4">
        <v>-0.88198600000000005</v>
      </c>
      <c r="R585" s="4">
        <v>-0.34290100000000001</v>
      </c>
      <c r="S585" s="4">
        <v>2.1038999999999999E-2</v>
      </c>
      <c r="T585" s="4">
        <v>1.2016</v>
      </c>
    </row>
    <row r="586" spans="1:20" ht="18">
      <c r="A586" s="2">
        <f t="shared" si="105"/>
        <v>585</v>
      </c>
      <c r="B586" s="7" t="s">
        <v>1130</v>
      </c>
      <c r="I586" s="15" t="s">
        <v>605</v>
      </c>
      <c r="J586" s="15">
        <v>584</v>
      </c>
      <c r="K586" s="4">
        <v>1.072759</v>
      </c>
      <c r="L586" s="4">
        <v>-0.71834900000000002</v>
      </c>
      <c r="M586" s="4">
        <v>-0.41905900000000001</v>
      </c>
      <c r="N586" s="4">
        <v>1.375148</v>
      </c>
      <c r="O586" s="4">
        <v>0.16886300000000001</v>
      </c>
      <c r="P586" s="4">
        <v>0.54491400000000001</v>
      </c>
      <c r="Q586" s="4">
        <v>0.33484999999999998</v>
      </c>
      <c r="R586" s="4">
        <v>-0.14796999999999999</v>
      </c>
      <c r="S586" s="4">
        <v>-1.518545</v>
      </c>
      <c r="T586" s="4">
        <v>-0.80222599999999999</v>
      </c>
    </row>
    <row r="587" spans="1:20" ht="18">
      <c r="A587" s="2">
        <f t="shared" si="105"/>
        <v>586</v>
      </c>
      <c r="B587" s="7" t="s">
        <v>1131</v>
      </c>
      <c r="I587" s="15" t="s">
        <v>606</v>
      </c>
      <c r="J587" s="15">
        <v>585</v>
      </c>
      <c r="K587" s="4">
        <v>-1.95567</v>
      </c>
      <c r="L587" s="4">
        <v>0.47793099999999999</v>
      </c>
      <c r="M587" s="4">
        <v>-0.45183899999999999</v>
      </c>
      <c r="N587" s="4">
        <v>0.43175000000000002</v>
      </c>
      <c r="O587" s="4">
        <v>-0.84799599999999997</v>
      </c>
      <c r="P587" s="4">
        <v>-1.3433520000000001</v>
      </c>
      <c r="Q587" s="4">
        <v>0.19800799999999999</v>
      </c>
      <c r="R587" s="4">
        <v>-7.3702000000000004E-2</v>
      </c>
      <c r="S587" s="4">
        <v>-0.71776499999999999</v>
      </c>
      <c r="T587" s="4">
        <v>2.223007</v>
      </c>
    </row>
    <row r="588" spans="1:20" ht="18">
      <c r="A588" s="2">
        <f t="shared" si="105"/>
        <v>587</v>
      </c>
      <c r="B588" s="7" t="s">
        <v>1132</v>
      </c>
      <c r="I588" s="15" t="s">
        <v>607</v>
      </c>
      <c r="J588" s="15">
        <v>586</v>
      </c>
      <c r="K588" s="4">
        <v>9.7868999999999998E-2</v>
      </c>
      <c r="L588" s="4">
        <v>4.9435E-2</v>
      </c>
      <c r="M588" s="4">
        <v>1.9019999999999999E-2</v>
      </c>
      <c r="N588" s="4">
        <v>-9.0083999999999997E-2</v>
      </c>
      <c r="O588" s="4">
        <v>-0.64058099999999996</v>
      </c>
      <c r="P588" s="4">
        <v>0.82936699999999997</v>
      </c>
      <c r="Q588" s="4">
        <v>1.5520910000000001</v>
      </c>
      <c r="R588" s="4">
        <v>2.2074449999999999</v>
      </c>
      <c r="S588" s="4">
        <v>1.7001459999999999</v>
      </c>
      <c r="T588" s="4">
        <v>0.98651599999999995</v>
      </c>
    </row>
    <row r="589" spans="1:20" ht="18">
      <c r="A589" s="2">
        <f t="shared" si="105"/>
        <v>588</v>
      </c>
      <c r="B589" s="7" t="s">
        <v>1133</v>
      </c>
      <c r="I589" s="15" t="s">
        <v>608</v>
      </c>
      <c r="J589" s="15">
        <v>587</v>
      </c>
      <c r="K589" s="4">
        <v>-1.082476</v>
      </c>
      <c r="L589" s="4">
        <v>0.155663</v>
      </c>
      <c r="M589" s="4">
        <v>-0.39357399999999998</v>
      </c>
      <c r="N589" s="4">
        <v>1.0015E-2</v>
      </c>
      <c r="O589" s="4">
        <v>1.477384</v>
      </c>
      <c r="P589" s="4">
        <v>1.100508</v>
      </c>
      <c r="Q589" s="4">
        <v>-1.939287</v>
      </c>
      <c r="R589" s="4">
        <v>0.75205599999999995</v>
      </c>
      <c r="S589" s="4">
        <v>-0.54951899999999998</v>
      </c>
      <c r="T589" s="4">
        <v>-1.2372430000000001</v>
      </c>
    </row>
    <row r="590" spans="1:20" ht="18">
      <c r="A590" s="2">
        <f t="shared" si="105"/>
        <v>589</v>
      </c>
      <c r="B590" s="7" t="s">
        <v>1134</v>
      </c>
      <c r="I590" s="15" t="s">
        <v>609</v>
      </c>
      <c r="J590" s="15">
        <v>588</v>
      </c>
      <c r="K590" s="4">
        <v>1.641834</v>
      </c>
      <c r="L590" s="4">
        <v>-0.495861</v>
      </c>
      <c r="M590" s="4">
        <v>-1.5290649999999999</v>
      </c>
      <c r="N590" s="4">
        <v>-0.77094300000000004</v>
      </c>
      <c r="O590" s="4">
        <v>1.155626</v>
      </c>
      <c r="P590" s="4">
        <v>1.460121</v>
      </c>
      <c r="Q590" s="4">
        <v>1.2332609999999999</v>
      </c>
      <c r="R590" s="4">
        <v>-0.25136500000000001</v>
      </c>
      <c r="S590" s="4">
        <v>2.3076889999999999</v>
      </c>
      <c r="T590" s="4">
        <v>0.52951599999999999</v>
      </c>
    </row>
    <row r="591" spans="1:20" ht="18">
      <c r="A591" s="2">
        <f t="shared" si="105"/>
        <v>590</v>
      </c>
      <c r="B591" s="7" t="s">
        <v>1135</v>
      </c>
      <c r="I591" s="15" t="s">
        <v>610</v>
      </c>
      <c r="J591" s="15">
        <v>589</v>
      </c>
      <c r="K591" s="4">
        <v>1.2438640000000001</v>
      </c>
      <c r="L591" s="4">
        <v>0.61426599999999998</v>
      </c>
      <c r="M591" s="4">
        <v>-1.5067170000000001</v>
      </c>
      <c r="N591" s="4">
        <v>-0.40229399999999998</v>
      </c>
      <c r="O591" s="4">
        <v>1.2557929999999999</v>
      </c>
      <c r="P591" s="4">
        <v>1.751547</v>
      </c>
      <c r="Q591" s="4">
        <v>0.73110200000000003</v>
      </c>
      <c r="R591" s="4">
        <v>0.46735100000000002</v>
      </c>
      <c r="S591" s="4">
        <v>-1.0382880000000001</v>
      </c>
      <c r="T591" s="4">
        <v>-0.77861000000000002</v>
      </c>
    </row>
    <row r="592" spans="1:20" ht="18">
      <c r="A592" s="2">
        <f t="shared" si="105"/>
        <v>591</v>
      </c>
      <c r="B592" s="7" t="s">
        <v>1136</v>
      </c>
      <c r="I592" s="15" t="s">
        <v>611</v>
      </c>
      <c r="J592" s="15">
        <v>590</v>
      </c>
      <c r="K592" s="4">
        <v>-0.97950800000000005</v>
      </c>
      <c r="L592" s="4">
        <v>1.111764</v>
      </c>
      <c r="M592" s="4">
        <v>-1.8237080000000001</v>
      </c>
      <c r="N592" s="4">
        <v>1.2365440000000001</v>
      </c>
      <c r="O592" s="4">
        <v>-0.14296</v>
      </c>
      <c r="P592" s="4">
        <v>1.6561220000000001</v>
      </c>
      <c r="Q592" s="4">
        <v>1.9058109999999999</v>
      </c>
      <c r="R592" s="4">
        <v>-1.97157</v>
      </c>
      <c r="S592" s="4">
        <v>0.88123099999999999</v>
      </c>
      <c r="T592" s="4">
        <v>-0.20439399999999999</v>
      </c>
    </row>
    <row r="593" spans="1:20" ht="18">
      <c r="A593" s="2">
        <f t="shared" si="105"/>
        <v>592</v>
      </c>
      <c r="B593" s="7" t="s">
        <v>1137</v>
      </c>
      <c r="I593" s="15" t="s">
        <v>612</v>
      </c>
      <c r="J593" s="15">
        <v>591</v>
      </c>
      <c r="K593" s="4">
        <v>0.45263700000000001</v>
      </c>
      <c r="L593" s="4">
        <v>-1.336519</v>
      </c>
      <c r="M593" s="4">
        <v>-1.032599</v>
      </c>
      <c r="N593" s="4">
        <v>1.682531</v>
      </c>
      <c r="O593" s="4">
        <v>0.56395700000000004</v>
      </c>
      <c r="P593" s="4">
        <v>2.104333</v>
      </c>
      <c r="Q593" s="4">
        <v>-0.61790900000000004</v>
      </c>
      <c r="R593" s="4">
        <v>0.23736699999999999</v>
      </c>
      <c r="S593" s="4">
        <v>0.31356099999999998</v>
      </c>
      <c r="T593" s="4">
        <v>-1.5986E-2</v>
      </c>
    </row>
    <row r="594" spans="1:20" ht="18">
      <c r="A594" s="2">
        <f t="shared" si="105"/>
        <v>593</v>
      </c>
      <c r="B594" s="7" t="s">
        <v>1138</v>
      </c>
      <c r="I594" s="15" t="s">
        <v>613</v>
      </c>
      <c r="J594" s="15">
        <v>592</v>
      </c>
      <c r="K594" s="4">
        <v>-0.44620700000000002</v>
      </c>
      <c r="L594" s="4">
        <v>-1.0419879999999999</v>
      </c>
      <c r="M594" s="4">
        <v>0.103462</v>
      </c>
      <c r="N594" s="4">
        <v>-1.1399030000000001</v>
      </c>
      <c r="O594" s="4">
        <v>0.35993399999999998</v>
      </c>
      <c r="P594" s="4">
        <v>-1.502861</v>
      </c>
      <c r="Q594" s="4">
        <v>0.80464000000000002</v>
      </c>
      <c r="R594" s="4">
        <v>1.9920119999999999</v>
      </c>
      <c r="S594" s="4">
        <v>-2.9036749999999998</v>
      </c>
      <c r="T594" s="4">
        <v>-0.20260500000000001</v>
      </c>
    </row>
    <row r="595" spans="1:20" ht="18">
      <c r="A595" s="2">
        <f t="shared" si="105"/>
        <v>594</v>
      </c>
      <c r="B595" s="7" t="s">
        <v>1139</v>
      </c>
      <c r="I595" s="15" t="s">
        <v>614</v>
      </c>
      <c r="J595" s="15">
        <v>593</v>
      </c>
      <c r="K595" s="4">
        <v>1.1451560000000001</v>
      </c>
      <c r="L595" s="4">
        <v>0.547512</v>
      </c>
      <c r="M595" s="4">
        <v>-0.71762899999999996</v>
      </c>
      <c r="N595" s="4">
        <v>-0.86074700000000004</v>
      </c>
      <c r="O595" s="4">
        <v>0.65931200000000001</v>
      </c>
      <c r="P595" s="4">
        <v>5.5010999999999997E-2</v>
      </c>
      <c r="Q595" s="4">
        <v>1.3506320000000001</v>
      </c>
      <c r="R595" s="4">
        <v>-0.45387699999999997</v>
      </c>
      <c r="S595" s="4">
        <v>1.4503079999999999</v>
      </c>
      <c r="T595" s="4">
        <v>-1.1254580000000001</v>
      </c>
    </row>
    <row r="596" spans="1:20" ht="18">
      <c r="A596" s="2">
        <f t="shared" si="105"/>
        <v>595</v>
      </c>
      <c r="B596" s="7" t="s">
        <v>1140</v>
      </c>
      <c r="I596" s="15" t="s">
        <v>615</v>
      </c>
      <c r="J596" s="15">
        <v>594</v>
      </c>
      <c r="K596" s="4">
        <v>-0.44456899999999999</v>
      </c>
      <c r="L596" s="4">
        <v>-0.83340700000000001</v>
      </c>
      <c r="M596" s="4">
        <v>-0.44608199999999998</v>
      </c>
      <c r="N596" s="4">
        <v>-0.32054100000000002</v>
      </c>
      <c r="O596" s="4">
        <v>0.123242</v>
      </c>
      <c r="P596" s="4">
        <v>0.375475</v>
      </c>
      <c r="Q596" s="4">
        <v>1.17578</v>
      </c>
      <c r="R596" s="4">
        <v>-6.5189999999999996E-3</v>
      </c>
      <c r="S596" s="4">
        <v>0.33065099999999997</v>
      </c>
      <c r="T596" s="4">
        <v>0.58626699999999998</v>
      </c>
    </row>
    <row r="597" spans="1:20" ht="18">
      <c r="A597" s="2">
        <f t="shared" si="105"/>
        <v>596</v>
      </c>
      <c r="B597" s="7" t="s">
        <v>1141</v>
      </c>
      <c r="I597" s="15" t="s">
        <v>616</v>
      </c>
      <c r="J597" s="15">
        <v>595</v>
      </c>
      <c r="K597" s="4">
        <v>0.45298699999999997</v>
      </c>
      <c r="L597" s="4">
        <v>-1.787355</v>
      </c>
      <c r="M597" s="4">
        <v>1.0769329999999999</v>
      </c>
      <c r="N597" s="4">
        <v>0.117255</v>
      </c>
      <c r="O597" s="4">
        <v>0.85582100000000005</v>
      </c>
      <c r="P597" s="4">
        <v>1.681422</v>
      </c>
      <c r="Q597" s="4">
        <v>0.402555</v>
      </c>
      <c r="R597" s="4">
        <v>0.91593400000000003</v>
      </c>
      <c r="S597" s="4">
        <v>0.59312600000000004</v>
      </c>
      <c r="T597" s="4">
        <v>1.1640470000000001</v>
      </c>
    </row>
    <row r="598" spans="1:20" ht="18">
      <c r="A598" s="2">
        <f t="shared" si="105"/>
        <v>597</v>
      </c>
      <c r="B598" s="7" t="s">
        <v>1142</v>
      </c>
      <c r="I598" s="15" t="s">
        <v>617</v>
      </c>
      <c r="J598" s="15">
        <v>596</v>
      </c>
      <c r="K598" s="4">
        <v>-1.293666</v>
      </c>
      <c r="L598" s="4">
        <v>-1.767544</v>
      </c>
      <c r="M598" s="4">
        <v>0.878965</v>
      </c>
      <c r="N598" s="4">
        <v>1.5996710000000001</v>
      </c>
      <c r="O598" s="4">
        <v>-8.9899999999999995E-4</v>
      </c>
      <c r="P598" s="4">
        <v>-0.66781400000000002</v>
      </c>
      <c r="Q598" s="4">
        <v>-0.65462600000000004</v>
      </c>
      <c r="R598" s="4">
        <v>-0.37106499999999998</v>
      </c>
      <c r="S598" s="4">
        <v>-0.82440800000000003</v>
      </c>
      <c r="T598" s="4">
        <v>3.7019999999999997E-2</v>
      </c>
    </row>
    <row r="599" spans="1:20" ht="18">
      <c r="A599" s="2">
        <f t="shared" si="105"/>
        <v>598</v>
      </c>
      <c r="B599" s="7" t="s">
        <v>1143</v>
      </c>
      <c r="I599" s="15" t="s">
        <v>618</v>
      </c>
      <c r="J599" s="15">
        <v>597</v>
      </c>
      <c r="K599" s="4">
        <v>-1.2657510000000001</v>
      </c>
      <c r="L599" s="4">
        <v>-1.5682999999999999E-2</v>
      </c>
      <c r="M599" s="4">
        <v>0.87653700000000001</v>
      </c>
      <c r="N599" s="4">
        <v>-0.48416799999999999</v>
      </c>
      <c r="O599" s="4">
        <v>-0.58969000000000005</v>
      </c>
      <c r="P599" s="4">
        <v>-1.633704</v>
      </c>
      <c r="Q599" s="4">
        <v>-0.29889399999999999</v>
      </c>
      <c r="R599" s="4">
        <v>-0.254799</v>
      </c>
      <c r="S599" s="4">
        <v>1.364446</v>
      </c>
      <c r="T599" s="4">
        <v>-0.75645600000000002</v>
      </c>
    </row>
    <row r="600" spans="1:20" ht="18">
      <c r="A600" s="2">
        <f t="shared" si="105"/>
        <v>599</v>
      </c>
      <c r="B600" s="7" t="s">
        <v>1144</v>
      </c>
      <c r="I600" s="15" t="s">
        <v>619</v>
      </c>
      <c r="J600" s="15">
        <v>598</v>
      </c>
      <c r="K600" s="4">
        <v>-0.52180400000000005</v>
      </c>
      <c r="L600" s="4">
        <v>-0.63996500000000001</v>
      </c>
      <c r="M600" s="4">
        <v>1.171932</v>
      </c>
      <c r="N600" s="4">
        <v>1.4325829999999999</v>
      </c>
      <c r="O600" s="4">
        <v>-0.45214700000000002</v>
      </c>
      <c r="P600" s="4">
        <v>-0.198822</v>
      </c>
      <c r="Q600" s="4">
        <v>-8.9594999999999994E-2</v>
      </c>
      <c r="R600" s="4">
        <v>-1.0079290000000001</v>
      </c>
      <c r="S600" s="4">
        <v>1.47231</v>
      </c>
      <c r="T600" s="4">
        <v>-0.60220700000000005</v>
      </c>
    </row>
    <row r="601" spans="1:20" ht="18">
      <c r="A601" s="2">
        <f t="shared" si="105"/>
        <v>600</v>
      </c>
      <c r="B601" s="7" t="s">
        <v>1145</v>
      </c>
      <c r="I601" s="15" t="s">
        <v>620</v>
      </c>
      <c r="J601" s="15">
        <v>599</v>
      </c>
      <c r="K601" s="4">
        <v>-0.154503</v>
      </c>
      <c r="L601" s="4">
        <v>1.2235529999999999</v>
      </c>
      <c r="M601" s="4">
        <v>1.4539E-2</v>
      </c>
      <c r="N601" s="4">
        <v>2.0742280000000002</v>
      </c>
      <c r="O601" s="4">
        <v>2.1843819999999998</v>
      </c>
      <c r="P601" s="4">
        <v>0.10925700000000001</v>
      </c>
      <c r="Q601" s="4">
        <v>-1.653205</v>
      </c>
      <c r="R601" s="4">
        <v>0.51414800000000005</v>
      </c>
      <c r="S601" s="4">
        <v>-1.1531</v>
      </c>
      <c r="T601" s="4">
        <v>1.641057</v>
      </c>
    </row>
    <row r="602" spans="1:20" ht="18">
      <c r="A602" s="2">
        <f t="shared" si="105"/>
        <v>601</v>
      </c>
      <c r="B602" s="7" t="s">
        <v>1146</v>
      </c>
      <c r="I602" s="15" t="s">
        <v>621</v>
      </c>
      <c r="J602" s="15">
        <v>600</v>
      </c>
      <c r="K602" s="4">
        <v>-0.24201900000000001</v>
      </c>
      <c r="L602" s="4">
        <v>-0.31869799999999998</v>
      </c>
      <c r="M602" s="4">
        <v>-0.16801199999999999</v>
      </c>
      <c r="N602" s="4">
        <v>0.127917</v>
      </c>
      <c r="O602" s="4">
        <v>0.112904</v>
      </c>
      <c r="P602" s="4">
        <v>-1.502159</v>
      </c>
      <c r="Q602" s="4">
        <v>1.8431919999999999</v>
      </c>
      <c r="R602" s="4">
        <v>-1.244489</v>
      </c>
      <c r="S602" s="4">
        <v>-0.222668</v>
      </c>
      <c r="T602" s="4">
        <v>0.352989</v>
      </c>
    </row>
    <row r="603" spans="1:20" ht="18">
      <c r="A603" s="2">
        <f t="shared" si="105"/>
        <v>602</v>
      </c>
      <c r="B603" s="7" t="s">
        <v>1147</v>
      </c>
      <c r="I603" s="15" t="s">
        <v>622</v>
      </c>
      <c r="J603" s="15">
        <v>601</v>
      </c>
      <c r="K603" s="4">
        <v>0.45535500000000001</v>
      </c>
      <c r="L603" s="4">
        <v>0.73116300000000001</v>
      </c>
      <c r="M603" s="4">
        <v>0.85471600000000003</v>
      </c>
      <c r="N603" s="4">
        <v>-0.40404400000000001</v>
      </c>
      <c r="O603" s="4">
        <v>-0.379913</v>
      </c>
      <c r="P603" s="4">
        <v>0.18659500000000001</v>
      </c>
      <c r="Q603" s="4">
        <v>0.39482499999999998</v>
      </c>
      <c r="R603" s="4">
        <v>-0.53137100000000004</v>
      </c>
      <c r="S603" s="4">
        <v>-0.20375399999999999</v>
      </c>
      <c r="T603" s="4">
        <v>-0.51334100000000005</v>
      </c>
    </row>
    <row r="604" spans="1:20" ht="18">
      <c r="A604" s="2">
        <f t="shared" si="105"/>
        <v>603</v>
      </c>
      <c r="B604" s="7" t="s">
        <v>1148</v>
      </c>
      <c r="I604" s="15" t="s">
        <v>623</v>
      </c>
      <c r="J604" s="15">
        <v>602</v>
      </c>
      <c r="K604" s="4">
        <v>-0.22000900000000001</v>
      </c>
      <c r="L604" s="4">
        <v>0.37892599999999999</v>
      </c>
      <c r="M604" s="4">
        <v>0.79657299999999998</v>
      </c>
      <c r="N604" s="4">
        <v>-1.7916620000000001</v>
      </c>
      <c r="O604" s="4">
        <v>0.55810300000000002</v>
      </c>
      <c r="P604" s="4">
        <v>-0.82675299999999996</v>
      </c>
      <c r="Q604" s="4">
        <v>1.2183710000000001</v>
      </c>
      <c r="R604" s="4">
        <v>-0.515988</v>
      </c>
      <c r="S604" s="4">
        <v>0.63599600000000001</v>
      </c>
      <c r="T604" s="4">
        <v>0.98121499999999995</v>
      </c>
    </row>
    <row r="605" spans="1:20" ht="18">
      <c r="A605" s="2">
        <f t="shared" si="105"/>
        <v>604</v>
      </c>
      <c r="B605" s="7" t="s">
        <v>1149</v>
      </c>
      <c r="I605" s="15" t="s">
        <v>624</v>
      </c>
      <c r="J605" s="15">
        <v>603</v>
      </c>
      <c r="K605" s="4">
        <v>-0.95865199999999995</v>
      </c>
      <c r="L605" s="4">
        <v>6.0486999999999999E-2</v>
      </c>
      <c r="M605" s="4">
        <v>0.93793199999999999</v>
      </c>
      <c r="N605" s="4">
        <v>0.70143299999999997</v>
      </c>
      <c r="O605" s="4">
        <v>2.0498340000000002</v>
      </c>
      <c r="P605" s="4">
        <v>0.57060200000000005</v>
      </c>
      <c r="Q605" s="4">
        <v>0.17822299999999999</v>
      </c>
      <c r="R605" s="4">
        <v>0.42827900000000002</v>
      </c>
      <c r="S605" s="4">
        <v>0.53261899999999995</v>
      </c>
      <c r="T605" s="4">
        <v>-0.27879700000000002</v>
      </c>
    </row>
    <row r="606" spans="1:20" ht="18">
      <c r="A606" s="2">
        <f t="shared" si="105"/>
        <v>605</v>
      </c>
      <c r="B606" s="7" t="s">
        <v>1150</v>
      </c>
      <c r="I606" s="15" t="s">
        <v>625</v>
      </c>
      <c r="J606" s="15">
        <v>604</v>
      </c>
      <c r="K606" s="4">
        <v>0.45998</v>
      </c>
      <c r="L606" s="4">
        <v>-0.41858899999999999</v>
      </c>
      <c r="M606" s="4">
        <v>-0.72833300000000001</v>
      </c>
      <c r="N606" s="4">
        <v>1.0778460000000001</v>
      </c>
      <c r="O606" s="4">
        <v>0.520038</v>
      </c>
      <c r="P606" s="4">
        <v>-1.9494720000000001</v>
      </c>
      <c r="Q606" s="4">
        <v>1.568244</v>
      </c>
      <c r="R606" s="4">
        <v>0.52981900000000004</v>
      </c>
      <c r="S606" s="4">
        <v>-0.38095600000000002</v>
      </c>
      <c r="T606" s="4">
        <v>-0.83410099999999998</v>
      </c>
    </row>
    <row r="607" spans="1:20" ht="18">
      <c r="A607" s="2">
        <f t="shared" si="105"/>
        <v>606</v>
      </c>
      <c r="B607" s="7" t="s">
        <v>1151</v>
      </c>
      <c r="I607" s="15" t="s">
        <v>626</v>
      </c>
      <c r="J607" s="15">
        <v>605</v>
      </c>
      <c r="K607" s="4">
        <v>-0.13081000000000001</v>
      </c>
      <c r="L607" s="4">
        <v>-0.75764600000000004</v>
      </c>
      <c r="M607" s="4">
        <v>4.2605999999999998E-2</v>
      </c>
      <c r="N607" s="4">
        <v>-1.794659</v>
      </c>
      <c r="O607" s="4">
        <v>-0.33205800000000002</v>
      </c>
      <c r="P607" s="4">
        <v>-0.84159600000000001</v>
      </c>
      <c r="Q607" s="4">
        <v>0.72290500000000002</v>
      </c>
      <c r="R607" s="4">
        <v>1.0427500000000001</v>
      </c>
      <c r="S607" s="4">
        <v>0.78252500000000003</v>
      </c>
      <c r="T607" s="4">
        <v>7.5166999999999998E-2</v>
      </c>
    </row>
    <row r="608" spans="1:20" ht="18">
      <c r="A608" s="2">
        <f t="shared" si="105"/>
        <v>607</v>
      </c>
      <c r="B608" s="7" t="s">
        <v>1152</v>
      </c>
      <c r="I608" s="15" t="s">
        <v>627</v>
      </c>
      <c r="J608" s="15">
        <v>606</v>
      </c>
      <c r="K608" s="4">
        <v>-1.84802</v>
      </c>
      <c r="L608" s="4">
        <v>-0.19713</v>
      </c>
      <c r="M608" s="4">
        <v>8.3149999999999995E-3</v>
      </c>
      <c r="N608" s="4">
        <v>-0.51694099999999998</v>
      </c>
      <c r="O608" s="4">
        <v>2.4440119999999999</v>
      </c>
      <c r="P608" s="4">
        <v>-0.32753100000000002</v>
      </c>
      <c r="Q608" s="4">
        <v>-5.8881999999999997E-2</v>
      </c>
      <c r="R608" s="4">
        <v>-1.854133</v>
      </c>
      <c r="S608" s="4">
        <v>0.48591600000000001</v>
      </c>
      <c r="T608" s="4">
        <v>1.1360650000000001</v>
      </c>
    </row>
    <row r="609" spans="1:20" ht="18">
      <c r="A609" s="2">
        <f t="shared" si="105"/>
        <v>608</v>
      </c>
      <c r="B609" s="7" t="s">
        <v>1153</v>
      </c>
      <c r="I609" s="15" t="s">
        <v>628</v>
      </c>
      <c r="J609" s="15">
        <v>607</v>
      </c>
      <c r="K609" s="4">
        <v>1.2037850000000001</v>
      </c>
      <c r="L609" s="4">
        <v>0.38449</v>
      </c>
      <c r="M609" s="4">
        <v>0.22500300000000001</v>
      </c>
      <c r="N609" s="4">
        <v>1.621759</v>
      </c>
      <c r="O609" s="4">
        <v>-0.33243400000000001</v>
      </c>
      <c r="P609" s="4">
        <v>-1.9370000000000001</v>
      </c>
      <c r="Q609" s="4">
        <v>0.87766699999999997</v>
      </c>
      <c r="R609" s="4">
        <v>-1.212758</v>
      </c>
      <c r="S609" s="4">
        <v>0.77684600000000004</v>
      </c>
      <c r="T609" s="4">
        <v>-0.40989700000000001</v>
      </c>
    </row>
    <row r="610" spans="1:20" ht="18">
      <c r="A610" s="2">
        <f t="shared" si="105"/>
        <v>609</v>
      </c>
      <c r="B610" s="7" t="s">
        <v>1154</v>
      </c>
      <c r="I610" s="15" t="s">
        <v>629</v>
      </c>
      <c r="J610" s="15">
        <v>608</v>
      </c>
      <c r="K610" s="4">
        <v>0.33171299999999998</v>
      </c>
      <c r="L610" s="4">
        <v>0.84950300000000001</v>
      </c>
      <c r="M610" s="4">
        <v>0.68455200000000005</v>
      </c>
      <c r="N610" s="4">
        <v>0.218505</v>
      </c>
      <c r="O610" s="4">
        <v>0.217589</v>
      </c>
      <c r="P610" s="4">
        <v>0.66932100000000005</v>
      </c>
      <c r="Q610" s="4">
        <v>-1.2567470000000001</v>
      </c>
      <c r="R610" s="4">
        <v>-1.2695350000000001</v>
      </c>
      <c r="S610" s="4">
        <v>-1.0971310000000001</v>
      </c>
      <c r="T610" s="4">
        <v>0.12651999999999999</v>
      </c>
    </row>
    <row r="611" spans="1:20" ht="18">
      <c r="A611" s="2">
        <f t="shared" si="105"/>
        <v>610</v>
      </c>
      <c r="B611" s="7" t="s">
        <v>1155</v>
      </c>
      <c r="I611" s="15" t="s">
        <v>630</v>
      </c>
      <c r="J611" s="15">
        <v>609</v>
      </c>
      <c r="K611" s="4">
        <v>-1.2433E-2</v>
      </c>
      <c r="L611" s="4">
        <v>1.440272</v>
      </c>
      <c r="M611" s="4">
        <v>-0.32423999999999997</v>
      </c>
      <c r="N611" s="4">
        <v>-2.5716459999999999</v>
      </c>
      <c r="O611" s="4">
        <v>-1.5397080000000001</v>
      </c>
      <c r="P611" s="4">
        <v>2.9846999999999999E-2</v>
      </c>
      <c r="Q611" s="4">
        <v>-1.782205</v>
      </c>
      <c r="R611" s="4">
        <v>0.430836</v>
      </c>
      <c r="S611" s="4">
        <v>-0.68028900000000003</v>
      </c>
      <c r="T611" s="4">
        <v>-0.26756999999999997</v>
      </c>
    </row>
    <row r="612" spans="1:20" ht="18">
      <c r="A612" s="2">
        <f t="shared" si="105"/>
        <v>611</v>
      </c>
      <c r="B612" s="7" t="s">
        <v>1156</v>
      </c>
      <c r="I612" s="15" t="s">
        <v>631</v>
      </c>
      <c r="J612" s="15">
        <v>610</v>
      </c>
      <c r="K612" s="4">
        <v>0.37639400000000001</v>
      </c>
      <c r="L612" s="4">
        <v>0.53720699999999999</v>
      </c>
      <c r="M612" s="4">
        <v>0.46544200000000002</v>
      </c>
      <c r="N612" s="4">
        <v>9.5787999999999998E-2</v>
      </c>
      <c r="O612" s="4">
        <v>-1.1548909999999999</v>
      </c>
      <c r="P612" s="4">
        <v>-0.72438599999999997</v>
      </c>
      <c r="Q612" s="4">
        <v>0.28007500000000002</v>
      </c>
      <c r="R612" s="4">
        <v>-0.41520299999999999</v>
      </c>
      <c r="S612" s="4">
        <v>0.890262</v>
      </c>
      <c r="T612" s="4">
        <v>1.386814</v>
      </c>
    </row>
    <row r="613" spans="1:20" ht="18">
      <c r="A613" s="2">
        <f t="shared" si="105"/>
        <v>612</v>
      </c>
      <c r="B613" s="7" t="s">
        <v>1157</v>
      </c>
      <c r="I613" s="15" t="s">
        <v>632</v>
      </c>
      <c r="J613" s="15">
        <v>611</v>
      </c>
      <c r="K613" s="4">
        <v>1.056643</v>
      </c>
      <c r="L613" s="4">
        <v>-0.97217900000000002</v>
      </c>
      <c r="M613" s="4">
        <v>0.443382</v>
      </c>
      <c r="N613" s="4">
        <v>0.97445700000000002</v>
      </c>
      <c r="O613" s="4">
        <v>0.15189900000000001</v>
      </c>
      <c r="P613" s="4">
        <v>-9.0261999999999995E-2</v>
      </c>
      <c r="Q613" s="4">
        <v>-0.375498</v>
      </c>
      <c r="R613" s="4">
        <v>-0.31011899999999998</v>
      </c>
      <c r="S613" s="4">
        <v>0.92968099999999998</v>
      </c>
      <c r="T613" s="4">
        <v>-0.617483</v>
      </c>
    </row>
    <row r="614" spans="1:20" ht="18">
      <c r="A614" s="2">
        <f t="shared" si="105"/>
        <v>613</v>
      </c>
      <c r="B614" s="7" t="s">
        <v>1158</v>
      </c>
      <c r="I614" s="15" t="s">
        <v>633</v>
      </c>
      <c r="J614" s="15">
        <v>612</v>
      </c>
      <c r="K614" s="4">
        <v>0.75709300000000002</v>
      </c>
      <c r="L614" s="4">
        <v>-0.87155199999999999</v>
      </c>
      <c r="M614" s="4">
        <v>0.92952299999999999</v>
      </c>
      <c r="N614" s="4">
        <v>-0.24682000000000001</v>
      </c>
      <c r="O614" s="4">
        <v>-0.63307999999999998</v>
      </c>
      <c r="P614" s="4">
        <v>-2.1841270000000002</v>
      </c>
      <c r="Q614" s="4">
        <v>0.31237500000000001</v>
      </c>
      <c r="R614" s="4">
        <v>0.86818799999999996</v>
      </c>
      <c r="S614" s="4">
        <v>0.35345399999999999</v>
      </c>
      <c r="T614" s="4">
        <v>0.39993000000000001</v>
      </c>
    </row>
    <row r="615" spans="1:20" ht="18">
      <c r="A615" s="2">
        <f t="shared" si="105"/>
        <v>614</v>
      </c>
      <c r="B615" s="7" t="s">
        <v>1159</v>
      </c>
      <c r="I615" s="15" t="s">
        <v>634</v>
      </c>
      <c r="J615" s="15">
        <v>613</v>
      </c>
      <c r="K615" s="4">
        <v>-0.14698800000000001</v>
      </c>
      <c r="L615" s="4">
        <v>-0.23600099999999999</v>
      </c>
      <c r="M615" s="4">
        <v>-2.5267469999999999</v>
      </c>
      <c r="N615" s="4">
        <v>-0.29882900000000001</v>
      </c>
      <c r="O615" s="4">
        <v>0.649343</v>
      </c>
      <c r="P615" s="4">
        <v>-1.2147479999999999</v>
      </c>
      <c r="Q615" s="4">
        <v>1.359812</v>
      </c>
      <c r="R615" s="4">
        <v>-1.3817900000000001</v>
      </c>
      <c r="S615" s="4">
        <v>1.0250520000000001</v>
      </c>
      <c r="T615" s="4">
        <v>-1.4466300000000001</v>
      </c>
    </row>
    <row r="616" spans="1:20" ht="18">
      <c r="A616" s="2">
        <f t="shared" si="105"/>
        <v>615</v>
      </c>
      <c r="B616" s="7" t="s">
        <v>1160</v>
      </c>
      <c r="I616" s="15" t="s">
        <v>635</v>
      </c>
      <c r="J616" s="15">
        <v>614</v>
      </c>
      <c r="K616" s="4">
        <v>0.51276699999999997</v>
      </c>
      <c r="L616" s="4">
        <v>-0.12644</v>
      </c>
      <c r="M616" s="4">
        <v>0.35746099999999997</v>
      </c>
      <c r="N616" s="4">
        <v>-1.174741</v>
      </c>
      <c r="O616" s="4">
        <v>-1.6046999999999999E-2</v>
      </c>
      <c r="P616" s="4">
        <v>-2.5144479999999998</v>
      </c>
      <c r="Q616" s="4">
        <v>0.91057600000000005</v>
      </c>
      <c r="R616" s="4">
        <v>-0.32446000000000003</v>
      </c>
      <c r="S616" s="4">
        <v>4.2111999999999997E-2</v>
      </c>
      <c r="T616" s="4">
        <v>-0.51219099999999995</v>
      </c>
    </row>
    <row r="617" spans="1:20" ht="18">
      <c r="A617" s="2">
        <f t="shared" si="105"/>
        <v>616</v>
      </c>
      <c r="B617" s="7" t="s">
        <v>1161</v>
      </c>
      <c r="I617" s="15" t="s">
        <v>636</v>
      </c>
      <c r="J617" s="15">
        <v>615</v>
      </c>
      <c r="K617" s="4">
        <v>0.86245300000000003</v>
      </c>
      <c r="L617" s="4">
        <v>1.2653430000000001</v>
      </c>
      <c r="M617" s="4">
        <v>4.1831E-2</v>
      </c>
      <c r="N617" s="4">
        <v>1.766761</v>
      </c>
      <c r="O617" s="4">
        <v>0.43580799999999997</v>
      </c>
      <c r="P617" s="4">
        <v>-1.1843379999999999</v>
      </c>
      <c r="Q617" s="4">
        <v>0.48208200000000001</v>
      </c>
      <c r="R617" s="4">
        <v>1.4213039999999999</v>
      </c>
      <c r="S617" s="4">
        <v>1.780964</v>
      </c>
      <c r="T617" s="4">
        <v>1.6359170000000001</v>
      </c>
    </row>
    <row r="618" spans="1:20" ht="18">
      <c r="A618" s="2">
        <f t="shared" si="105"/>
        <v>617</v>
      </c>
      <c r="B618" s="7" t="s">
        <v>1162</v>
      </c>
      <c r="I618" s="15" t="s">
        <v>637</v>
      </c>
      <c r="J618" s="15">
        <v>616</v>
      </c>
      <c r="K618" s="4">
        <v>0.89640900000000001</v>
      </c>
      <c r="L618" s="4">
        <v>0.39473900000000001</v>
      </c>
      <c r="M618" s="4">
        <v>0.85965100000000005</v>
      </c>
      <c r="N618" s="4">
        <v>-0.75860499999999997</v>
      </c>
      <c r="O618" s="4">
        <v>-0.72440099999999996</v>
      </c>
      <c r="P618" s="4">
        <v>-0.30078300000000002</v>
      </c>
      <c r="Q618" s="4">
        <v>-0.309276</v>
      </c>
      <c r="R618" s="4">
        <v>-0.80448299999999995</v>
      </c>
      <c r="S618" s="4">
        <v>-0.378743</v>
      </c>
      <c r="T618" s="4">
        <v>-0.73258699999999999</v>
      </c>
    </row>
    <row r="619" spans="1:20" ht="18">
      <c r="A619" s="2">
        <f t="shared" si="105"/>
        <v>618</v>
      </c>
      <c r="B619" s="7" t="s">
        <v>1163</v>
      </c>
      <c r="I619" s="15" t="s">
        <v>638</v>
      </c>
      <c r="J619" s="15">
        <v>617</v>
      </c>
      <c r="K619" s="4">
        <v>-2.9923839999999999</v>
      </c>
      <c r="L619" s="4">
        <v>-0.35364899999999999</v>
      </c>
      <c r="M619" s="4">
        <v>1.972872</v>
      </c>
      <c r="N619" s="4">
        <v>0.93662199999999995</v>
      </c>
      <c r="O619" s="4">
        <v>0.31913000000000002</v>
      </c>
      <c r="P619" s="4">
        <v>1.866986</v>
      </c>
      <c r="Q619" s="4">
        <v>-1.3509180000000001</v>
      </c>
      <c r="R619" s="4">
        <v>0.19436899999999999</v>
      </c>
      <c r="S619" s="4">
        <v>0.37656400000000001</v>
      </c>
      <c r="T619" s="4">
        <v>-1.074311</v>
      </c>
    </row>
    <row r="620" spans="1:20" ht="18">
      <c r="A620" s="2">
        <f t="shared" si="105"/>
        <v>619</v>
      </c>
      <c r="B620" s="7" t="s">
        <v>1164</v>
      </c>
      <c r="I620" s="15" t="s">
        <v>639</v>
      </c>
      <c r="J620" s="15">
        <v>618</v>
      </c>
      <c r="K620" s="4">
        <v>2.131488</v>
      </c>
      <c r="L620" s="4">
        <v>-1.949319</v>
      </c>
      <c r="M620" s="4">
        <v>-0.72260999999999997</v>
      </c>
      <c r="N620" s="4">
        <v>1.219217</v>
      </c>
      <c r="O620" s="4">
        <v>1.3801330000000001</v>
      </c>
      <c r="P620" s="4">
        <v>1.643373</v>
      </c>
      <c r="Q620" s="4">
        <v>1.3667279999999999</v>
      </c>
      <c r="R620" s="4">
        <v>0.28631499999999999</v>
      </c>
      <c r="S620" s="4">
        <v>-0.39622400000000002</v>
      </c>
      <c r="T620" s="4">
        <v>1.1729989999999999</v>
      </c>
    </row>
    <row r="621" spans="1:20" ht="18">
      <c r="A621" s="2">
        <f t="shared" si="105"/>
        <v>620</v>
      </c>
      <c r="B621" s="7" t="s">
        <v>1165</v>
      </c>
      <c r="I621" s="15" t="s">
        <v>640</v>
      </c>
      <c r="J621" s="15">
        <v>619</v>
      </c>
      <c r="K621" s="4">
        <v>-1.865151</v>
      </c>
      <c r="L621" s="4">
        <v>0.73899000000000004</v>
      </c>
      <c r="M621" s="4">
        <v>-0.56384699999999999</v>
      </c>
      <c r="N621" s="4">
        <v>-0.31570900000000002</v>
      </c>
      <c r="O621" s="4">
        <v>-0.79924200000000001</v>
      </c>
      <c r="P621" s="4">
        <v>1.9863850000000001</v>
      </c>
      <c r="Q621" s="4">
        <v>-0.53342400000000001</v>
      </c>
      <c r="R621" s="4">
        <v>-0.66979200000000005</v>
      </c>
      <c r="S621" s="4">
        <v>3.4268E-2</v>
      </c>
      <c r="T621" s="4">
        <v>0.50946100000000005</v>
      </c>
    </row>
    <row r="622" spans="1:20" ht="18">
      <c r="A622" s="2">
        <f t="shared" si="105"/>
        <v>621</v>
      </c>
      <c r="B622" s="7" t="s">
        <v>1166</v>
      </c>
      <c r="I622" s="15" t="s">
        <v>641</v>
      </c>
      <c r="J622" s="15">
        <v>620</v>
      </c>
      <c r="K622" s="4">
        <v>0.109692</v>
      </c>
      <c r="L622" s="4">
        <v>0.36664999999999998</v>
      </c>
      <c r="M622" s="4">
        <v>0.82482500000000003</v>
      </c>
      <c r="N622" s="4">
        <v>-0.92895899999999998</v>
      </c>
      <c r="O622" s="4">
        <v>1.0149900000000001</v>
      </c>
      <c r="P622" s="4">
        <v>1.495239</v>
      </c>
      <c r="Q622" s="4">
        <v>0.57134499999999999</v>
      </c>
      <c r="R622" s="4">
        <v>0.23338999999999999</v>
      </c>
      <c r="S622" s="4">
        <v>0.362315</v>
      </c>
      <c r="T622" s="4">
        <v>-0.55404200000000003</v>
      </c>
    </row>
    <row r="623" spans="1:20" ht="18">
      <c r="A623" s="2">
        <f t="shared" si="105"/>
        <v>622</v>
      </c>
      <c r="B623" s="7" t="s">
        <v>1167</v>
      </c>
      <c r="I623" s="15" t="s">
        <v>642</v>
      </c>
      <c r="J623" s="15">
        <v>621</v>
      </c>
      <c r="K623" s="4">
        <v>5.4345999999999998E-2</v>
      </c>
      <c r="L623" s="4">
        <v>-0.93755299999999997</v>
      </c>
      <c r="M623" s="4">
        <v>0.37759700000000002</v>
      </c>
      <c r="N623" s="4">
        <v>0.186553</v>
      </c>
      <c r="O623" s="4">
        <v>-0.18823999999999999</v>
      </c>
      <c r="P623" s="4">
        <v>-2.1211000000000001E-2</v>
      </c>
      <c r="Q623" s="4">
        <v>-0.41816900000000001</v>
      </c>
      <c r="R623" s="4">
        <v>-2.3560999999999999E-2</v>
      </c>
      <c r="S623" s="4">
        <v>7.4142E-2</v>
      </c>
      <c r="T623" s="4">
        <v>0.13961599999999999</v>
      </c>
    </row>
    <row r="624" spans="1:20" ht="18">
      <c r="A624" s="2">
        <f t="shared" si="105"/>
        <v>623</v>
      </c>
      <c r="B624" s="7" t="s">
        <v>1168</v>
      </c>
      <c r="I624" s="15" t="s">
        <v>643</v>
      </c>
      <c r="J624" s="15">
        <v>622</v>
      </c>
      <c r="K624" s="4">
        <v>-0.241726</v>
      </c>
      <c r="L624" s="4">
        <v>-1.279048</v>
      </c>
      <c r="M624" s="4">
        <v>0.47198200000000001</v>
      </c>
      <c r="N624" s="4">
        <v>0.50637500000000002</v>
      </c>
      <c r="O624" s="4">
        <v>-0.22659000000000001</v>
      </c>
      <c r="P624" s="4">
        <v>0.37210599999999999</v>
      </c>
      <c r="Q624" s="4">
        <v>-1.3617490000000001</v>
      </c>
      <c r="R624" s="4">
        <v>-0.89168400000000003</v>
      </c>
      <c r="S624" s="4">
        <v>0.24652399999999999</v>
      </c>
      <c r="T624" s="4">
        <v>1.0692470000000001</v>
      </c>
    </row>
    <row r="625" spans="1:20" ht="18">
      <c r="A625" s="2">
        <f t="shared" si="105"/>
        <v>624</v>
      </c>
      <c r="B625" s="7" t="s">
        <v>1169</v>
      </c>
      <c r="I625" s="15" t="s">
        <v>644</v>
      </c>
      <c r="J625" s="15">
        <v>623</v>
      </c>
      <c r="K625" s="4">
        <v>-0.94230800000000003</v>
      </c>
      <c r="L625" s="4">
        <v>-1.039299</v>
      </c>
      <c r="M625" s="4">
        <v>-1.4467730000000001</v>
      </c>
      <c r="N625" s="4">
        <v>0.56519900000000001</v>
      </c>
      <c r="O625" s="4">
        <v>0.28726800000000002</v>
      </c>
      <c r="P625" s="4">
        <v>-0.150366</v>
      </c>
      <c r="Q625" s="4">
        <v>1.3318760000000001</v>
      </c>
      <c r="R625" s="4">
        <v>-1.4861260000000001</v>
      </c>
      <c r="S625" s="4">
        <v>-1.0248900000000001</v>
      </c>
      <c r="T625" s="4">
        <v>-1.928412</v>
      </c>
    </row>
    <row r="626" spans="1:20" ht="18">
      <c r="A626" s="2">
        <f t="shared" si="105"/>
        <v>625</v>
      </c>
      <c r="B626" s="7" t="s">
        <v>1170</v>
      </c>
      <c r="I626" s="15" t="s">
        <v>645</v>
      </c>
      <c r="J626" s="15">
        <v>624</v>
      </c>
      <c r="K626" s="4">
        <v>-0.50150600000000001</v>
      </c>
      <c r="L626" s="4">
        <v>0.33221299999999998</v>
      </c>
      <c r="M626" s="4">
        <v>0.61914599999999997</v>
      </c>
      <c r="N626" s="4">
        <v>-1.3885479999999999</v>
      </c>
      <c r="O626" s="4">
        <v>-0.30028899999999997</v>
      </c>
      <c r="P626" s="4">
        <v>0.271646</v>
      </c>
      <c r="Q626" s="4">
        <v>-0.54477200000000003</v>
      </c>
      <c r="R626" s="4">
        <v>-0.85594300000000001</v>
      </c>
      <c r="S626" s="4">
        <v>-1.020222</v>
      </c>
      <c r="T626" s="4">
        <v>1.1937759999999999</v>
      </c>
    </row>
    <row r="627" spans="1:20" ht="18">
      <c r="A627" s="2">
        <f t="shared" si="105"/>
        <v>626</v>
      </c>
      <c r="B627" s="7" t="s">
        <v>1171</v>
      </c>
      <c r="I627" s="15" t="s">
        <v>646</v>
      </c>
      <c r="J627" s="15">
        <v>625</v>
      </c>
      <c r="K627" s="4">
        <v>-0.55455600000000005</v>
      </c>
      <c r="L627" s="4">
        <v>-1.0237050000000001</v>
      </c>
      <c r="M627" s="4">
        <v>0.59573500000000001</v>
      </c>
      <c r="N627" s="4">
        <v>-0.89669100000000002</v>
      </c>
      <c r="O627" s="4">
        <v>-1.719266</v>
      </c>
      <c r="P627" s="4">
        <v>-1.009925</v>
      </c>
      <c r="Q627" s="4">
        <v>1.5104709999999999</v>
      </c>
      <c r="R627" s="4">
        <v>-1.023919</v>
      </c>
      <c r="S627" s="4">
        <v>8.5140999999999994E-2</v>
      </c>
      <c r="T627" s="4">
        <v>-0.80631299999999995</v>
      </c>
    </row>
    <row r="628" spans="1:20" ht="18">
      <c r="A628" s="2">
        <f t="shared" si="105"/>
        <v>627</v>
      </c>
      <c r="B628" s="7" t="s">
        <v>1172</v>
      </c>
      <c r="I628" s="15" t="s">
        <v>647</v>
      </c>
      <c r="J628" s="15">
        <v>626</v>
      </c>
      <c r="K628" s="4">
        <v>-6.4523999999999998E-2</v>
      </c>
      <c r="L628" s="4">
        <v>0.63405999999999996</v>
      </c>
      <c r="M628" s="4">
        <v>-0.33474199999999998</v>
      </c>
      <c r="N628" s="4">
        <v>-0.453405</v>
      </c>
      <c r="O628" s="4">
        <v>-1.253657</v>
      </c>
      <c r="P628" s="4">
        <v>-0.74215900000000001</v>
      </c>
      <c r="Q628" s="4">
        <v>-1.023582</v>
      </c>
      <c r="R628" s="4">
        <v>-3.5062000000000003E-2</v>
      </c>
      <c r="S628" s="4">
        <v>8.5038000000000002E-2</v>
      </c>
      <c r="T628" s="4">
        <v>-2.0285549999999999</v>
      </c>
    </row>
    <row r="629" spans="1:20" ht="18">
      <c r="A629" s="2">
        <f t="shared" si="105"/>
        <v>628</v>
      </c>
      <c r="B629" s="7" t="s">
        <v>1173</v>
      </c>
      <c r="I629" s="15" t="s">
        <v>648</v>
      </c>
      <c r="J629" s="15">
        <v>627</v>
      </c>
      <c r="K629" s="4">
        <v>1.1747669999999999</v>
      </c>
      <c r="L629" s="4">
        <v>0.90463199999999999</v>
      </c>
      <c r="M629" s="4">
        <v>0.289657</v>
      </c>
      <c r="N629" s="4">
        <v>-0.97055100000000005</v>
      </c>
      <c r="O629" s="4">
        <v>-0.28621799999999997</v>
      </c>
      <c r="P629" s="4">
        <v>-0.35497400000000001</v>
      </c>
      <c r="Q629" s="4">
        <v>0.21963299999999999</v>
      </c>
      <c r="R629" s="4">
        <v>1.5700670000000001</v>
      </c>
      <c r="S629" s="4">
        <v>-0.62052600000000002</v>
      </c>
      <c r="T629" s="4">
        <v>-0.62764799999999998</v>
      </c>
    </row>
    <row r="630" spans="1:20" ht="18">
      <c r="A630" s="2">
        <f t="shared" si="105"/>
        <v>629</v>
      </c>
      <c r="B630" s="7" t="s">
        <v>1174</v>
      </c>
      <c r="I630" s="15" t="s">
        <v>649</v>
      </c>
      <c r="J630" s="15">
        <v>628</v>
      </c>
      <c r="K630" s="4">
        <v>1.267344</v>
      </c>
      <c r="L630" s="4">
        <v>-0.72428599999999999</v>
      </c>
      <c r="M630" s="4">
        <v>-0.70447000000000004</v>
      </c>
      <c r="N630" s="4">
        <v>0.470499</v>
      </c>
      <c r="O630" s="4">
        <v>0.62232799999999999</v>
      </c>
      <c r="P630" s="4">
        <v>-0.59971799999999997</v>
      </c>
      <c r="Q630" s="4">
        <v>-0.860707</v>
      </c>
      <c r="R630" s="4">
        <v>-1.3782909999999999</v>
      </c>
      <c r="S630" s="4">
        <v>0.33301399999999998</v>
      </c>
      <c r="T630" s="4">
        <v>-1.1460589999999999</v>
      </c>
    </row>
    <row r="631" spans="1:20" ht="18">
      <c r="A631" s="2">
        <f t="shared" si="105"/>
        <v>630</v>
      </c>
      <c r="B631" s="7" t="s">
        <v>1175</v>
      </c>
      <c r="I631" s="15" t="s">
        <v>650</v>
      </c>
      <c r="J631" s="15">
        <v>629</v>
      </c>
      <c r="K631" s="4">
        <v>-0.33240399999999998</v>
      </c>
      <c r="L631" s="4">
        <v>-0.15660299999999999</v>
      </c>
      <c r="M631" s="4">
        <v>-0.398532</v>
      </c>
      <c r="N631" s="4">
        <v>-1.1937770000000001</v>
      </c>
      <c r="O631" s="4">
        <v>-0.74060599999999999</v>
      </c>
      <c r="P631" s="4">
        <v>-0.35294999999999999</v>
      </c>
      <c r="Q631" s="4">
        <v>-0.150834</v>
      </c>
      <c r="R631" s="4">
        <v>0.39530700000000002</v>
      </c>
      <c r="S631" s="4">
        <v>0.31345800000000001</v>
      </c>
      <c r="T631" s="4">
        <v>-0.66350699999999996</v>
      </c>
    </row>
    <row r="632" spans="1:20" ht="18">
      <c r="A632" s="2">
        <f t="shared" si="105"/>
        <v>631</v>
      </c>
      <c r="B632" s="7" t="s">
        <v>1176</v>
      </c>
      <c r="I632" s="15" t="s">
        <v>651</v>
      </c>
      <c r="J632" s="15">
        <v>630</v>
      </c>
      <c r="K632" s="4">
        <v>0.66899200000000003</v>
      </c>
      <c r="L632" s="4">
        <v>-0.66748200000000002</v>
      </c>
      <c r="M632" s="4">
        <v>1.5416319999999999</v>
      </c>
      <c r="N632" s="4">
        <v>1.5921160000000001</v>
      </c>
      <c r="O632" s="4">
        <v>1.462812</v>
      </c>
      <c r="P632" s="4">
        <v>-1.6973229999999999</v>
      </c>
      <c r="Q632" s="4">
        <v>-0.77676299999999998</v>
      </c>
      <c r="R632" s="4">
        <v>0.414047</v>
      </c>
      <c r="S632" s="4">
        <v>0.80942400000000003</v>
      </c>
      <c r="T632" s="4">
        <v>1.4014930000000001</v>
      </c>
    </row>
    <row r="633" spans="1:20" ht="18">
      <c r="A633" s="2">
        <f t="shared" si="105"/>
        <v>632</v>
      </c>
      <c r="B633" s="7" t="s">
        <v>1177</v>
      </c>
      <c r="I633" s="15" t="s">
        <v>652</v>
      </c>
      <c r="J633" s="15">
        <v>631</v>
      </c>
      <c r="K633" s="4">
        <v>0.99745200000000001</v>
      </c>
      <c r="L633" s="4">
        <v>0.179199</v>
      </c>
      <c r="M633" s="4">
        <v>0.87724299999999999</v>
      </c>
      <c r="N633" s="4">
        <v>-0.79376500000000005</v>
      </c>
      <c r="O633" s="4">
        <v>1.113326</v>
      </c>
      <c r="P633" s="4">
        <v>1.3359999999999999E-3</v>
      </c>
      <c r="Q633" s="4">
        <v>-0.55293000000000003</v>
      </c>
      <c r="R633" s="4">
        <v>1.1743E-2</v>
      </c>
      <c r="S633" s="4">
        <v>0.39154099999999997</v>
      </c>
      <c r="T633" s="4">
        <v>0.98765000000000003</v>
      </c>
    </row>
    <row r="634" spans="1:20" ht="18">
      <c r="A634" s="2">
        <f t="shared" si="105"/>
        <v>633</v>
      </c>
      <c r="B634" s="7" t="s">
        <v>1178</v>
      </c>
      <c r="I634" s="15" t="s">
        <v>653</v>
      </c>
      <c r="J634" s="15">
        <v>632</v>
      </c>
      <c r="K634" s="4">
        <v>-1.543275</v>
      </c>
      <c r="L634" s="4">
        <v>-1.088781</v>
      </c>
      <c r="M634" s="4">
        <v>-0.88452200000000003</v>
      </c>
      <c r="N634" s="4">
        <v>-0.59763599999999995</v>
      </c>
      <c r="O634" s="4">
        <v>0.22387399999999999</v>
      </c>
      <c r="P634" s="4">
        <v>-0.69373300000000004</v>
      </c>
      <c r="Q634" s="4">
        <v>-1.0820540000000001</v>
      </c>
      <c r="R634" s="4">
        <v>0.50039400000000001</v>
      </c>
      <c r="S634" s="4">
        <v>-1.127383</v>
      </c>
      <c r="T634" s="4">
        <v>-0.360898</v>
      </c>
    </row>
    <row r="635" spans="1:20" ht="18">
      <c r="A635" s="2">
        <f t="shared" si="105"/>
        <v>634</v>
      </c>
      <c r="B635" s="7" t="s">
        <v>1179</v>
      </c>
      <c r="I635" s="15" t="s">
        <v>654</v>
      </c>
      <c r="J635" s="15">
        <v>633</v>
      </c>
      <c r="K635" s="4">
        <v>0.115756</v>
      </c>
      <c r="L635" s="4">
        <v>0.70753100000000002</v>
      </c>
      <c r="M635" s="4">
        <v>0.122283</v>
      </c>
      <c r="N635" s="4">
        <v>-0.51958700000000002</v>
      </c>
      <c r="O635" s="4">
        <v>-0.197154</v>
      </c>
      <c r="P635" s="4">
        <v>-1.104554</v>
      </c>
      <c r="Q635" s="4">
        <v>-1.660998</v>
      </c>
      <c r="R635" s="4">
        <v>1.0656060000000001</v>
      </c>
      <c r="S635" s="4">
        <v>0.55762999999999996</v>
      </c>
      <c r="T635" s="4">
        <v>-1.3252619999999999</v>
      </c>
    </row>
    <row r="636" spans="1:20" ht="18">
      <c r="A636" s="2">
        <f t="shared" si="105"/>
        <v>635</v>
      </c>
      <c r="B636" s="7" t="s">
        <v>1180</v>
      </c>
      <c r="I636" s="15" t="s">
        <v>655</v>
      </c>
      <c r="J636" s="15">
        <v>634</v>
      </c>
      <c r="K636" s="4">
        <v>1.2145809999999999</v>
      </c>
      <c r="L636" s="4">
        <v>-0.95030599999999998</v>
      </c>
      <c r="M636" s="4">
        <v>1.501115</v>
      </c>
      <c r="N636" s="4">
        <v>1.5035000000000001</v>
      </c>
      <c r="O636" s="4">
        <v>1.433891</v>
      </c>
      <c r="P636" s="4">
        <v>0.76902899999999996</v>
      </c>
      <c r="Q636" s="4">
        <v>-0.120462</v>
      </c>
      <c r="R636" s="4">
        <v>-0.98360800000000004</v>
      </c>
      <c r="S636" s="4">
        <v>-0.59499500000000005</v>
      </c>
      <c r="T636" s="4">
        <v>-1.262289</v>
      </c>
    </row>
    <row r="637" spans="1:20" ht="18">
      <c r="A637" s="2">
        <f t="shared" si="105"/>
        <v>636</v>
      </c>
      <c r="B637" s="7" t="s">
        <v>1181</v>
      </c>
      <c r="I637" s="15" t="s">
        <v>656</v>
      </c>
      <c r="J637" s="15">
        <v>635</v>
      </c>
      <c r="K637" s="4">
        <v>0.22592699999999999</v>
      </c>
      <c r="L637" s="4">
        <v>-0.70342700000000002</v>
      </c>
      <c r="M637" s="4">
        <v>-1.5212589999999999</v>
      </c>
      <c r="N637" s="4">
        <v>-0.47375200000000001</v>
      </c>
      <c r="O637" s="4">
        <v>0.37865799999999999</v>
      </c>
      <c r="P637" s="4">
        <v>-0.28983100000000001</v>
      </c>
      <c r="Q637" s="4">
        <v>-5.5129999999999998E-2</v>
      </c>
      <c r="R637" s="4">
        <v>-0.83630800000000005</v>
      </c>
      <c r="S637" s="4">
        <v>2.1676799999999998</v>
      </c>
      <c r="T637" s="4">
        <v>-2.1293259999999998</v>
      </c>
    </row>
    <row r="638" spans="1:20" ht="18">
      <c r="A638" s="2">
        <f t="shared" si="105"/>
        <v>637</v>
      </c>
      <c r="B638" s="7" t="s">
        <v>1182</v>
      </c>
      <c r="I638" s="15" t="s">
        <v>657</v>
      </c>
      <c r="J638" s="15">
        <v>636</v>
      </c>
      <c r="K638" s="4">
        <v>-1.2649010000000001</v>
      </c>
      <c r="L638" s="4">
        <v>1.240497</v>
      </c>
      <c r="M638" s="4">
        <v>0.13464000000000001</v>
      </c>
      <c r="N638" s="4">
        <v>1.7838069999999999</v>
      </c>
      <c r="O638" s="4">
        <v>0.57815000000000005</v>
      </c>
      <c r="P638" s="4">
        <v>1.239365</v>
      </c>
      <c r="Q638" s="4">
        <v>0.25351099999999999</v>
      </c>
      <c r="R638" s="4">
        <v>-1.2736000000000001</v>
      </c>
      <c r="S638" s="4">
        <v>1.363661</v>
      </c>
      <c r="T638" s="4">
        <v>2.2062949999999999</v>
      </c>
    </row>
    <row r="639" spans="1:20" ht="18">
      <c r="A639" s="2">
        <f t="shared" si="105"/>
        <v>638</v>
      </c>
      <c r="B639" s="7" t="s">
        <v>1183</v>
      </c>
      <c r="I639" s="15" t="s">
        <v>658</v>
      </c>
      <c r="J639" s="15">
        <v>637</v>
      </c>
      <c r="K639" s="4">
        <v>-0.97637799999999997</v>
      </c>
      <c r="L639" s="4">
        <v>0.27044699999999999</v>
      </c>
      <c r="M639" s="4">
        <v>0.248004</v>
      </c>
      <c r="N639" s="4">
        <v>1.954718</v>
      </c>
      <c r="O639" s="4">
        <v>1.0959840000000001</v>
      </c>
      <c r="P639" s="4">
        <v>-1.2829900000000001</v>
      </c>
      <c r="Q639" s="4">
        <v>0.38264399999999998</v>
      </c>
      <c r="R639" s="4">
        <v>0.54065300000000005</v>
      </c>
      <c r="S639" s="4">
        <v>0.57027700000000003</v>
      </c>
      <c r="T639" s="4">
        <v>0.87978500000000004</v>
      </c>
    </row>
    <row r="640" spans="1:20" ht="18">
      <c r="A640" s="2">
        <f t="shared" si="105"/>
        <v>639</v>
      </c>
      <c r="B640" s="7" t="s">
        <v>1184</v>
      </c>
      <c r="I640" s="15" t="s">
        <v>659</v>
      </c>
      <c r="J640" s="15">
        <v>638</v>
      </c>
      <c r="K640" s="4">
        <v>-1.628182</v>
      </c>
      <c r="L640" s="4">
        <v>1.1146959999999999</v>
      </c>
      <c r="M640" s="4">
        <v>0.28485500000000002</v>
      </c>
      <c r="N640" s="4">
        <v>-0.91866000000000003</v>
      </c>
      <c r="O640" s="4">
        <v>0.45817000000000002</v>
      </c>
      <c r="P640" s="4">
        <v>-1.6416170000000001</v>
      </c>
      <c r="Q640" s="4">
        <v>1.7070529999999999</v>
      </c>
      <c r="R640" s="4">
        <v>0.143232</v>
      </c>
      <c r="S640" s="4">
        <v>1.6421859999999999</v>
      </c>
      <c r="T640" s="4">
        <v>-0.99156</v>
      </c>
    </row>
    <row r="641" spans="1:20" ht="18">
      <c r="A641" s="2">
        <f t="shared" si="105"/>
        <v>640</v>
      </c>
      <c r="B641" s="7" t="s">
        <v>1185</v>
      </c>
      <c r="I641" s="15" t="s">
        <v>660</v>
      </c>
      <c r="J641" s="15">
        <v>639</v>
      </c>
      <c r="K641" s="4">
        <v>0.75395400000000001</v>
      </c>
      <c r="L641" s="4">
        <v>-1.608155</v>
      </c>
      <c r="M641" s="4">
        <v>-0.63131800000000005</v>
      </c>
      <c r="N641" s="4">
        <v>2.0003069999999998</v>
      </c>
      <c r="O641" s="4">
        <v>0.19636100000000001</v>
      </c>
      <c r="P641" s="4">
        <v>-0.75688500000000003</v>
      </c>
      <c r="Q641" s="4">
        <v>-1.0283979999999999</v>
      </c>
      <c r="R641" s="4">
        <v>-0.26227699999999998</v>
      </c>
      <c r="S641" s="4">
        <v>0.249191</v>
      </c>
      <c r="T641" s="4">
        <v>-1.333501</v>
      </c>
    </row>
    <row r="642" spans="1:20" ht="18">
      <c r="A642" s="2">
        <f t="shared" si="105"/>
        <v>641</v>
      </c>
      <c r="B642" s="7" t="s">
        <v>1186</v>
      </c>
      <c r="I642" s="15" t="s">
        <v>661</v>
      </c>
      <c r="J642" s="15">
        <v>640</v>
      </c>
      <c r="K642" s="4">
        <v>-0.84291700000000003</v>
      </c>
      <c r="L642" s="4">
        <v>-0.86296600000000001</v>
      </c>
      <c r="M642" s="4">
        <v>0.368867</v>
      </c>
      <c r="N642" s="4">
        <v>1.0618050000000001</v>
      </c>
      <c r="O642" s="4">
        <v>1.80179</v>
      </c>
      <c r="P642" s="4">
        <v>5.6591000000000002E-2</v>
      </c>
      <c r="Q642" s="4">
        <v>2.1091129999999998</v>
      </c>
      <c r="R642" s="4">
        <v>-0.12873100000000001</v>
      </c>
      <c r="S642" s="4">
        <v>-0.81681199999999998</v>
      </c>
      <c r="T642" s="4">
        <v>0.85880599999999996</v>
      </c>
    </row>
    <row r="643" spans="1:20" ht="18">
      <c r="A643" s="2">
        <f t="shared" ref="A643:A706" si="106">ROW()-1</f>
        <v>642</v>
      </c>
      <c r="B643" s="7" t="s">
        <v>1187</v>
      </c>
      <c r="I643" s="15" t="s">
        <v>662</v>
      </c>
      <c r="J643" s="15">
        <v>641</v>
      </c>
      <c r="K643" s="4">
        <v>1.013493</v>
      </c>
      <c r="L643" s="4">
        <v>0.14281099999999999</v>
      </c>
      <c r="M643" s="4">
        <v>0.336619</v>
      </c>
      <c r="N643" s="4">
        <v>0.91996699999999998</v>
      </c>
      <c r="O643" s="4">
        <v>1.3045310000000001</v>
      </c>
      <c r="P643" s="4">
        <v>-1.0839510000000001</v>
      </c>
      <c r="Q643" s="4">
        <v>0.82211400000000001</v>
      </c>
      <c r="R643" s="4">
        <v>-0.34304800000000002</v>
      </c>
      <c r="S643" s="4">
        <v>0.58721800000000002</v>
      </c>
      <c r="T643" s="4">
        <v>-2.267503</v>
      </c>
    </row>
    <row r="644" spans="1:20" ht="18">
      <c r="A644" s="2">
        <f t="shared" si="106"/>
        <v>643</v>
      </c>
      <c r="B644" s="7" t="s">
        <v>1188</v>
      </c>
      <c r="I644" s="15" t="s">
        <v>663</v>
      </c>
      <c r="J644" s="15">
        <v>642</v>
      </c>
      <c r="K644" s="4">
        <v>-0.95002900000000001</v>
      </c>
      <c r="L644" s="4">
        <v>-1.055013</v>
      </c>
      <c r="M644" s="4">
        <v>9.6729999999999997E-2</v>
      </c>
      <c r="N644" s="4">
        <v>9.1619000000000006E-2</v>
      </c>
      <c r="O644" s="4">
        <v>-3.0519999999999999E-2</v>
      </c>
      <c r="P644" s="4">
        <v>-0.29152600000000001</v>
      </c>
      <c r="Q644" s="4">
        <v>-0.51312899999999995</v>
      </c>
      <c r="R644" s="4">
        <v>-0.96664499999999998</v>
      </c>
      <c r="S644" s="4">
        <v>1.417826</v>
      </c>
      <c r="T644" s="4">
        <v>0.65598800000000002</v>
      </c>
    </row>
    <row r="645" spans="1:20" ht="18">
      <c r="A645" s="2">
        <f t="shared" si="106"/>
        <v>644</v>
      </c>
      <c r="B645" s="7" t="s">
        <v>1189</v>
      </c>
      <c r="I645" s="15" t="s">
        <v>664</v>
      </c>
      <c r="J645" s="15">
        <v>643</v>
      </c>
      <c r="K645" s="4">
        <v>0.71101999999999999</v>
      </c>
      <c r="L645" s="4">
        <v>-1.0995109999999999</v>
      </c>
      <c r="M645" s="4">
        <v>-0.42202000000000001</v>
      </c>
      <c r="N645" s="4">
        <v>0.59759899999999999</v>
      </c>
      <c r="O645" s="4">
        <v>-0.88643499999999997</v>
      </c>
      <c r="P645" s="4">
        <v>-0.337534</v>
      </c>
      <c r="Q645" s="4">
        <v>0.22086500000000001</v>
      </c>
      <c r="R645" s="4">
        <v>1.8631930000000001</v>
      </c>
      <c r="S645" s="4">
        <v>-0.83416299999999999</v>
      </c>
      <c r="T645" s="4">
        <v>1.699211</v>
      </c>
    </row>
    <row r="646" spans="1:20" ht="18">
      <c r="A646" s="2">
        <f t="shared" si="106"/>
        <v>645</v>
      </c>
      <c r="B646" s="7" t="s">
        <v>1190</v>
      </c>
      <c r="I646" s="15" t="s">
        <v>665</v>
      </c>
      <c r="J646" s="15">
        <v>644</v>
      </c>
      <c r="K646" s="4">
        <v>0.63655499999999998</v>
      </c>
      <c r="L646" s="4">
        <v>0.64932699999999999</v>
      </c>
      <c r="M646" s="4">
        <v>-0.58567000000000002</v>
      </c>
      <c r="N646" s="4">
        <v>-1.4564520000000001</v>
      </c>
      <c r="O646" s="4">
        <v>1.0245329999999999</v>
      </c>
      <c r="P646" s="4">
        <v>0.53832999999999998</v>
      </c>
      <c r="Q646" s="4">
        <v>-1.5944309999999999</v>
      </c>
      <c r="R646" s="4">
        <v>-1.158102</v>
      </c>
      <c r="S646" s="4">
        <v>0.61362300000000003</v>
      </c>
      <c r="T646" s="4">
        <v>-1.5428679999999999</v>
      </c>
    </row>
    <row r="647" spans="1:20" ht="18">
      <c r="A647" s="2">
        <f t="shared" si="106"/>
        <v>646</v>
      </c>
      <c r="B647" s="7" t="s">
        <v>1191</v>
      </c>
      <c r="I647" s="15" t="s">
        <v>666</v>
      </c>
      <c r="J647" s="15">
        <v>645</v>
      </c>
      <c r="K647" s="4">
        <v>0.17575299999999999</v>
      </c>
      <c r="L647" s="4">
        <v>-0.58868799999999999</v>
      </c>
      <c r="M647" s="4">
        <v>-0.26408300000000001</v>
      </c>
      <c r="N647" s="4">
        <v>0.43870300000000001</v>
      </c>
      <c r="O647" s="4">
        <v>0.427813</v>
      </c>
      <c r="P647" s="4">
        <v>0.22815299999999999</v>
      </c>
      <c r="Q647" s="4">
        <v>1.5511649999999999</v>
      </c>
      <c r="R647" s="4">
        <v>0.29578900000000002</v>
      </c>
      <c r="S647" s="4">
        <v>-0.67365699999999995</v>
      </c>
      <c r="T647" s="4">
        <v>-0.292717</v>
      </c>
    </row>
    <row r="648" spans="1:20" ht="18">
      <c r="A648" s="2">
        <f t="shared" si="106"/>
        <v>647</v>
      </c>
      <c r="B648" s="7" t="s">
        <v>1192</v>
      </c>
      <c r="I648" s="15" t="s">
        <v>667</v>
      </c>
      <c r="J648" s="15">
        <v>646</v>
      </c>
      <c r="K648" s="4">
        <v>-0.90031600000000001</v>
      </c>
      <c r="L648" s="4">
        <v>-0.49932399999999999</v>
      </c>
      <c r="M648" s="4">
        <v>-2.8389999999999999E-3</v>
      </c>
      <c r="N648" s="4">
        <v>-0.29558400000000001</v>
      </c>
      <c r="O648" s="4">
        <v>-0.34774899999999997</v>
      </c>
      <c r="P648" s="4">
        <v>0.41827900000000001</v>
      </c>
      <c r="Q648" s="4">
        <v>1.5166269999999999</v>
      </c>
      <c r="R648" s="4">
        <v>-1.149411</v>
      </c>
      <c r="S648" s="4">
        <v>-1.2946839999999999</v>
      </c>
      <c r="T648" s="4">
        <v>0.63418600000000003</v>
      </c>
    </row>
    <row r="649" spans="1:20" ht="18">
      <c r="A649" s="2">
        <f t="shared" si="106"/>
        <v>648</v>
      </c>
      <c r="B649" s="7" t="s">
        <v>1193</v>
      </c>
      <c r="I649" s="15" t="s">
        <v>668</v>
      </c>
      <c r="J649" s="15">
        <v>647</v>
      </c>
      <c r="K649" s="4">
        <v>-0.761208</v>
      </c>
      <c r="L649" s="4">
        <v>0.86324999999999996</v>
      </c>
      <c r="M649" s="4">
        <v>1.58118</v>
      </c>
      <c r="N649" s="4">
        <v>0.30090099999999997</v>
      </c>
      <c r="O649" s="4">
        <v>1.1037570000000001</v>
      </c>
      <c r="P649" s="4">
        <v>-1.4209130000000001</v>
      </c>
      <c r="Q649" s="4">
        <v>-0.46989300000000001</v>
      </c>
      <c r="R649" s="4">
        <v>-0.37454799999999999</v>
      </c>
      <c r="S649" s="4">
        <v>-0.120532</v>
      </c>
      <c r="T649" s="4">
        <v>-1.254364</v>
      </c>
    </row>
    <row r="650" spans="1:20" ht="18">
      <c r="A650" s="2">
        <f t="shared" si="106"/>
        <v>649</v>
      </c>
      <c r="B650" s="7" t="s">
        <v>870</v>
      </c>
      <c r="I650" s="15" t="s">
        <v>669</v>
      </c>
      <c r="J650" s="15">
        <v>648</v>
      </c>
      <c r="K650" s="4">
        <v>1.585947</v>
      </c>
      <c r="L650" s="4">
        <v>-0.18489</v>
      </c>
      <c r="M650" s="4">
        <v>1.4064859999999999</v>
      </c>
      <c r="N650" s="4">
        <v>0.64930299999999996</v>
      </c>
      <c r="O650" s="4">
        <v>-1.82345</v>
      </c>
      <c r="P650" s="4">
        <v>-0.18812799999999999</v>
      </c>
      <c r="Q650" s="4">
        <v>-9.3730999999999995E-2</v>
      </c>
      <c r="R650" s="4">
        <v>1.0061549999999999</v>
      </c>
      <c r="S650" s="4">
        <v>0.69433699999999998</v>
      </c>
      <c r="T650" s="4">
        <v>-0.53849400000000003</v>
      </c>
    </row>
    <row r="651" spans="1:20" ht="18">
      <c r="A651" s="2">
        <f t="shared" si="106"/>
        <v>650</v>
      </c>
      <c r="B651" s="7" t="s">
        <v>871</v>
      </c>
      <c r="I651" s="15" t="s">
        <v>670</v>
      </c>
      <c r="J651" s="15">
        <v>649</v>
      </c>
      <c r="K651" s="4">
        <v>-0.57604200000000005</v>
      </c>
      <c r="L651" s="4">
        <v>0.46641700000000003</v>
      </c>
      <c r="M651" s="4">
        <v>-1.148255</v>
      </c>
      <c r="N651" s="4">
        <v>0.75663199999999997</v>
      </c>
      <c r="O651" s="4">
        <v>-0.81575299999999995</v>
      </c>
      <c r="P651" s="4">
        <v>3.243188</v>
      </c>
      <c r="Q651" s="4">
        <v>-0.46044299999999999</v>
      </c>
      <c r="R651" s="4">
        <v>1.072065</v>
      </c>
      <c r="S651" s="4">
        <v>-0.38681700000000002</v>
      </c>
      <c r="T651" s="4">
        <v>2.0338289999999999</v>
      </c>
    </row>
    <row r="652" spans="1:20" ht="18">
      <c r="A652" s="2">
        <f t="shared" si="106"/>
        <v>651</v>
      </c>
      <c r="B652" s="7" t="s">
        <v>872</v>
      </c>
      <c r="I652" s="15" t="s">
        <v>671</v>
      </c>
      <c r="J652" s="15">
        <v>650</v>
      </c>
      <c r="K652" s="4">
        <v>-0.48786099999999999</v>
      </c>
      <c r="L652" s="4">
        <v>2.2325710000000001</v>
      </c>
      <c r="M652" s="4">
        <v>-2.756443</v>
      </c>
      <c r="N652" s="4">
        <v>-1.279865</v>
      </c>
      <c r="O652" s="4">
        <v>1.9519789999999999</v>
      </c>
      <c r="P652" s="4">
        <v>-0.68450800000000001</v>
      </c>
      <c r="Q652" s="4">
        <v>-1.2490600000000001</v>
      </c>
      <c r="R652" s="4">
        <v>-0.41385699999999997</v>
      </c>
      <c r="S652" s="4">
        <v>-0.39068799999999998</v>
      </c>
      <c r="T652" s="4">
        <v>0.84808899999999998</v>
      </c>
    </row>
    <row r="653" spans="1:20" ht="18">
      <c r="A653" s="2">
        <f t="shared" si="106"/>
        <v>652</v>
      </c>
      <c r="B653" s="7" t="s">
        <v>873</v>
      </c>
      <c r="I653" s="15" t="s">
        <v>672</v>
      </c>
      <c r="J653" s="15">
        <v>651</v>
      </c>
      <c r="K653" s="4">
        <v>0.48865700000000001</v>
      </c>
      <c r="L653" s="4">
        <v>-2.2749969999999999</v>
      </c>
      <c r="M653" s="4">
        <v>1.713986</v>
      </c>
      <c r="N653" s="4">
        <v>-0.66990400000000005</v>
      </c>
      <c r="O653" s="4">
        <v>1.0498019999999999</v>
      </c>
      <c r="P653" s="4">
        <v>0.73016300000000001</v>
      </c>
      <c r="Q653" s="4">
        <v>0.11791500000000001</v>
      </c>
      <c r="R653" s="4">
        <v>1.471055</v>
      </c>
      <c r="S653" s="4">
        <v>-1.4997739999999999</v>
      </c>
      <c r="T653" s="4">
        <v>-1.6456569999999999</v>
      </c>
    </row>
    <row r="654" spans="1:20" ht="18">
      <c r="A654" s="2">
        <f t="shared" si="106"/>
        <v>653</v>
      </c>
      <c r="B654" s="7" t="s">
        <v>874</v>
      </c>
      <c r="I654" s="15" t="s">
        <v>673</v>
      </c>
      <c r="J654" s="15">
        <v>652</v>
      </c>
      <c r="K654" s="4">
        <v>-9.8529000000000005E-2</v>
      </c>
      <c r="L654" s="4">
        <v>-0.28299200000000002</v>
      </c>
      <c r="M654" s="4">
        <v>0.75736300000000001</v>
      </c>
      <c r="N654" s="4">
        <v>0.92584</v>
      </c>
      <c r="O654" s="4">
        <v>1.298522</v>
      </c>
      <c r="P654" s="4">
        <v>-0.45971499999999998</v>
      </c>
      <c r="Q654" s="4">
        <v>0.61556900000000003</v>
      </c>
      <c r="R654" s="4">
        <v>1.449932</v>
      </c>
      <c r="S654" s="4">
        <v>0.72987999999999997</v>
      </c>
      <c r="T654" s="4">
        <v>-5.6946999999999998E-2</v>
      </c>
    </row>
    <row r="655" spans="1:20" ht="18">
      <c r="A655" s="2">
        <f t="shared" si="106"/>
        <v>654</v>
      </c>
      <c r="B655" s="7" t="s">
        <v>875</v>
      </c>
      <c r="I655" s="15" t="s">
        <v>674</v>
      </c>
      <c r="J655" s="15">
        <v>653</v>
      </c>
      <c r="K655" s="4">
        <v>1.833121</v>
      </c>
      <c r="L655" s="4">
        <v>0.55496599999999996</v>
      </c>
      <c r="M655" s="4">
        <v>0.28295700000000001</v>
      </c>
      <c r="N655" s="4">
        <v>0.74465000000000003</v>
      </c>
      <c r="O655" s="4">
        <v>-0.63388199999999995</v>
      </c>
      <c r="P655" s="4">
        <v>1.008076</v>
      </c>
      <c r="Q655" s="4">
        <v>-0.243953</v>
      </c>
      <c r="R655" s="4">
        <v>-0.49316100000000002</v>
      </c>
      <c r="S655" s="4">
        <v>-0.37783600000000001</v>
      </c>
      <c r="T655" s="4">
        <v>0.166965</v>
      </c>
    </row>
    <row r="656" spans="1:20" ht="18">
      <c r="A656" s="2">
        <f t="shared" si="106"/>
        <v>655</v>
      </c>
      <c r="B656" s="7" t="s">
        <v>876</v>
      </c>
      <c r="I656" s="15" t="s">
        <v>675</v>
      </c>
      <c r="J656" s="15">
        <v>654</v>
      </c>
      <c r="K656" s="4">
        <v>-0.29789300000000002</v>
      </c>
      <c r="L656" s="4">
        <v>-1.138058</v>
      </c>
      <c r="M656" s="4">
        <v>0.67493300000000001</v>
      </c>
      <c r="N656" s="4">
        <v>6.9529999999999995E-2</v>
      </c>
      <c r="O656" s="4">
        <v>-1.280211</v>
      </c>
      <c r="P656" s="4">
        <v>1.2565519999999999</v>
      </c>
      <c r="Q656" s="4">
        <v>-0.54591900000000004</v>
      </c>
      <c r="R656" s="4">
        <v>0.92012099999999997</v>
      </c>
      <c r="S656" s="4">
        <v>0.156251</v>
      </c>
      <c r="T656" s="4">
        <v>-1.5188159999999999</v>
      </c>
    </row>
    <row r="657" spans="1:20" ht="18">
      <c r="A657" s="2">
        <f t="shared" si="106"/>
        <v>656</v>
      </c>
      <c r="B657" s="7" t="s">
        <v>877</v>
      </c>
      <c r="I657" s="15" t="s">
        <v>676</v>
      </c>
      <c r="J657" s="15">
        <v>655</v>
      </c>
      <c r="K657" s="4">
        <v>-0.71027600000000002</v>
      </c>
      <c r="L657" s="4">
        <v>-1.3405609999999999</v>
      </c>
      <c r="M657" s="4">
        <v>-1.0025649999999999</v>
      </c>
      <c r="N657" s="4">
        <v>-0.369726</v>
      </c>
      <c r="O657" s="4">
        <v>-0.115802</v>
      </c>
      <c r="P657" s="4">
        <v>1.8734489999999999</v>
      </c>
      <c r="Q657" s="4">
        <v>-1.139794</v>
      </c>
      <c r="R657" s="4">
        <v>-0.88543799999999995</v>
      </c>
      <c r="S657" s="4">
        <v>1.4285140000000001</v>
      </c>
      <c r="T657" s="4">
        <v>-8.1065999999999999E-2</v>
      </c>
    </row>
    <row r="658" spans="1:20" ht="18">
      <c r="A658" s="2">
        <f t="shared" si="106"/>
        <v>657</v>
      </c>
      <c r="B658" s="7" t="s">
        <v>878</v>
      </c>
      <c r="I658" s="15" t="s">
        <v>677</v>
      </c>
      <c r="J658" s="15">
        <v>656</v>
      </c>
      <c r="K658" s="4">
        <v>-0.63469699999999996</v>
      </c>
      <c r="L658" s="4">
        <v>-3.4211999999999999E-2</v>
      </c>
      <c r="M658" s="4">
        <v>-0.51087000000000005</v>
      </c>
      <c r="N658" s="4">
        <v>3.4345000000000001E-2</v>
      </c>
      <c r="O658" s="4">
        <v>0.81066400000000005</v>
      </c>
      <c r="P658" s="4">
        <v>0.35602200000000001</v>
      </c>
      <c r="Q658" s="4">
        <v>-0.484601</v>
      </c>
      <c r="R658" s="4">
        <v>-0.54270600000000002</v>
      </c>
      <c r="S658" s="4">
        <v>0.17074600000000001</v>
      </c>
      <c r="T658" s="4">
        <v>0.47116599999999997</v>
      </c>
    </row>
    <row r="659" spans="1:20" ht="18">
      <c r="A659" s="2">
        <f t="shared" si="106"/>
        <v>658</v>
      </c>
      <c r="B659" s="7" t="s">
        <v>879</v>
      </c>
      <c r="I659" s="15" t="s">
        <v>678</v>
      </c>
      <c r="J659" s="15">
        <v>657</v>
      </c>
      <c r="K659" s="4">
        <v>0.33973999999999999</v>
      </c>
      <c r="L659" s="4">
        <v>1.5947039999999999</v>
      </c>
      <c r="M659" s="4">
        <v>1.0753649999999999</v>
      </c>
      <c r="N659" s="4">
        <v>0.45037899999999997</v>
      </c>
      <c r="O659" s="4">
        <v>0.46841100000000002</v>
      </c>
      <c r="P659" s="4">
        <v>0.26462999999999998</v>
      </c>
      <c r="Q659" s="4">
        <v>0.72527900000000001</v>
      </c>
      <c r="R659" s="4">
        <v>0.68194699999999997</v>
      </c>
      <c r="S659" s="4">
        <v>-1.37809</v>
      </c>
      <c r="T659" s="4">
        <v>1.624031</v>
      </c>
    </row>
    <row r="660" spans="1:20" ht="18">
      <c r="A660" s="2">
        <f t="shared" si="106"/>
        <v>659</v>
      </c>
      <c r="B660" s="7" t="s">
        <v>880</v>
      </c>
      <c r="I660" s="15" t="s">
        <v>679</v>
      </c>
      <c r="J660" s="15">
        <v>658</v>
      </c>
      <c r="K660" s="4">
        <v>1.621567</v>
      </c>
      <c r="L660" s="4">
        <v>1.1632560000000001</v>
      </c>
      <c r="M660" s="4">
        <v>4.8365999999999999E-2</v>
      </c>
      <c r="N660" s="4">
        <v>6.5505999999999995E-2</v>
      </c>
      <c r="O660" s="4">
        <v>-1.2943690000000001</v>
      </c>
      <c r="P660" s="4">
        <v>5.4829000000000003E-2</v>
      </c>
      <c r="Q660" s="4">
        <v>-1.8588260000000001</v>
      </c>
      <c r="R660" s="4">
        <v>0.235289</v>
      </c>
      <c r="S660" s="4">
        <v>-2.149467</v>
      </c>
      <c r="T660" s="4">
        <v>-0.93265600000000004</v>
      </c>
    </row>
    <row r="661" spans="1:20" ht="18">
      <c r="A661" s="2">
        <f t="shared" si="106"/>
        <v>660</v>
      </c>
      <c r="B661" s="7" t="s">
        <v>881</v>
      </c>
      <c r="I661" s="15" t="s">
        <v>680</v>
      </c>
      <c r="J661" s="15">
        <v>659</v>
      </c>
      <c r="K661" s="4">
        <v>-0.86929900000000004</v>
      </c>
      <c r="L661" s="4">
        <v>1.2068920000000001</v>
      </c>
      <c r="M661" s="4">
        <v>-0.77918299999999996</v>
      </c>
      <c r="N661" s="4">
        <v>-0.49418099999999998</v>
      </c>
      <c r="O661" s="4">
        <v>9.8730999999999999E-2</v>
      </c>
      <c r="P661" s="4">
        <v>-0.243335</v>
      </c>
      <c r="Q661" s="4">
        <v>0.87352200000000002</v>
      </c>
      <c r="R661" s="4">
        <v>0.197933</v>
      </c>
      <c r="S661" s="4">
        <v>1.7450030000000001</v>
      </c>
      <c r="T661" s="4">
        <v>0.74533400000000005</v>
      </c>
    </row>
    <row r="662" spans="1:20" ht="18">
      <c r="A662" s="2">
        <f t="shared" si="106"/>
        <v>661</v>
      </c>
      <c r="B662" s="7" t="s">
        <v>882</v>
      </c>
      <c r="I662" s="15" t="s">
        <v>681</v>
      </c>
      <c r="J662" s="15">
        <v>660</v>
      </c>
      <c r="K662" s="4">
        <v>1.528659</v>
      </c>
      <c r="L662" s="4">
        <v>-1.3069139999999999</v>
      </c>
      <c r="M662" s="4">
        <v>1.6113900000000001</v>
      </c>
      <c r="N662" s="4">
        <v>-2.1117E-2</v>
      </c>
      <c r="O662" s="4">
        <v>1.227576</v>
      </c>
      <c r="P662" s="4">
        <v>-0.64482499999999998</v>
      </c>
      <c r="Q662" s="4">
        <v>-0.49399500000000002</v>
      </c>
      <c r="R662" s="4">
        <v>0.80805499999999997</v>
      </c>
      <c r="S662" s="4">
        <v>0.322795</v>
      </c>
      <c r="T662" s="4">
        <v>-1.802557</v>
      </c>
    </row>
    <row r="663" spans="1:20" ht="18">
      <c r="A663" s="2">
        <f t="shared" si="106"/>
        <v>662</v>
      </c>
      <c r="B663" s="7" t="s">
        <v>883</v>
      </c>
      <c r="I663" s="15" t="s">
        <v>682</v>
      </c>
      <c r="J663" s="15">
        <v>661</v>
      </c>
      <c r="K663" s="4">
        <v>0.87133700000000003</v>
      </c>
      <c r="L663" s="4">
        <v>0.75169799999999998</v>
      </c>
      <c r="M663" s="4">
        <v>-0.62297899999999995</v>
      </c>
      <c r="N663" s="4">
        <v>-0.60193399999999997</v>
      </c>
      <c r="O663" s="4">
        <v>0.60800799999999999</v>
      </c>
      <c r="P663" s="4">
        <v>-0.51290100000000005</v>
      </c>
      <c r="Q663" s="4">
        <v>-1.6387929999999999</v>
      </c>
      <c r="R663" s="4">
        <v>-1.921953</v>
      </c>
      <c r="S663" s="4">
        <v>0.29087000000000002</v>
      </c>
      <c r="T663" s="4">
        <v>-0.766629</v>
      </c>
    </row>
    <row r="664" spans="1:20" ht="18">
      <c r="A664" s="2">
        <f t="shared" si="106"/>
        <v>663</v>
      </c>
      <c r="B664" s="7" t="s">
        <v>884</v>
      </c>
      <c r="I664" s="15" t="s">
        <v>683</v>
      </c>
      <c r="J664" s="15">
        <v>662</v>
      </c>
      <c r="K664" s="4">
        <v>0.45349600000000001</v>
      </c>
      <c r="L664" s="4">
        <v>0.15270800000000001</v>
      </c>
      <c r="M664" s="4">
        <v>1.3338410000000001</v>
      </c>
      <c r="N664" s="4">
        <v>0.27595799999999998</v>
      </c>
      <c r="O664" s="4">
        <v>0.549014</v>
      </c>
      <c r="P664" s="4">
        <v>0.67864800000000003</v>
      </c>
      <c r="Q664" s="4">
        <v>0.56621699999999997</v>
      </c>
      <c r="R664" s="4">
        <v>1.8518889999999999</v>
      </c>
      <c r="S664" s="4">
        <v>-1.4194519999999999</v>
      </c>
      <c r="T664" s="4">
        <v>0.28930400000000001</v>
      </c>
    </row>
    <row r="665" spans="1:20" ht="18">
      <c r="A665" s="2">
        <f t="shared" si="106"/>
        <v>664</v>
      </c>
      <c r="B665" s="7" t="s">
        <v>885</v>
      </c>
      <c r="I665" s="15" t="s">
        <v>684</v>
      </c>
      <c r="J665" s="15">
        <v>663</v>
      </c>
      <c r="K665" s="4">
        <v>0.138652</v>
      </c>
      <c r="L665" s="4">
        <v>-0.79970200000000002</v>
      </c>
      <c r="M665" s="4">
        <v>-2.5416609999999999</v>
      </c>
      <c r="N665" s="4">
        <v>-5.0745999999999999E-2</v>
      </c>
      <c r="O665" s="4">
        <v>0.65276800000000001</v>
      </c>
      <c r="P665" s="4">
        <v>1.1459239999999999</v>
      </c>
      <c r="Q665" s="4">
        <v>1.1998949999999999</v>
      </c>
      <c r="R665" s="4">
        <v>0.15221299999999999</v>
      </c>
      <c r="S665" s="4">
        <v>-1.8307070000000001</v>
      </c>
      <c r="T665" s="4">
        <v>0.38131599999999999</v>
      </c>
    </row>
    <row r="666" spans="1:20" ht="18">
      <c r="A666" s="2">
        <f t="shared" si="106"/>
        <v>665</v>
      </c>
      <c r="B666" s="7" t="s">
        <v>886</v>
      </c>
      <c r="I666" s="15" t="s">
        <v>685</v>
      </c>
      <c r="J666" s="15">
        <v>664</v>
      </c>
      <c r="K666" s="4">
        <v>1.240545</v>
      </c>
      <c r="L666" s="4">
        <v>0.72958800000000001</v>
      </c>
      <c r="M666" s="4">
        <v>-0.79725599999999996</v>
      </c>
      <c r="N666" s="4">
        <v>-0.25701299999999999</v>
      </c>
      <c r="O666" s="4">
        <v>1.3953770000000001</v>
      </c>
      <c r="P666" s="4">
        <v>-1.618239</v>
      </c>
      <c r="Q666" s="4">
        <v>1.7389410000000001</v>
      </c>
      <c r="R666" s="4">
        <v>-0.55155900000000002</v>
      </c>
      <c r="S666" s="4">
        <v>1.0022329999999999</v>
      </c>
      <c r="T666" s="4">
        <v>3.5265399999999998</v>
      </c>
    </row>
    <row r="667" spans="1:20" ht="18">
      <c r="A667" s="2">
        <f t="shared" si="106"/>
        <v>666</v>
      </c>
      <c r="B667" s="7" t="s">
        <v>887</v>
      </c>
      <c r="I667" s="15" t="s">
        <v>686</v>
      </c>
      <c r="J667" s="15">
        <v>665</v>
      </c>
      <c r="K667" s="4">
        <v>1.0792729999999999</v>
      </c>
      <c r="L667" s="4">
        <v>-0.51009099999999996</v>
      </c>
      <c r="M667" s="4">
        <v>-0.173291</v>
      </c>
      <c r="N667" s="4">
        <v>1.2019979999999999</v>
      </c>
      <c r="O667" s="4">
        <v>0.75615299999999996</v>
      </c>
      <c r="P667" s="4">
        <v>-5.0158000000000001E-2</v>
      </c>
      <c r="Q667" s="4">
        <v>0.42455599999999999</v>
      </c>
      <c r="R667" s="4">
        <v>-1.4086879999999999</v>
      </c>
      <c r="S667" s="4">
        <v>-0.67309799999999997</v>
      </c>
      <c r="T667" s="4">
        <v>-0.15945500000000001</v>
      </c>
    </row>
    <row r="668" spans="1:20" ht="18">
      <c r="A668" s="2">
        <f t="shared" si="106"/>
        <v>667</v>
      </c>
      <c r="B668" s="7" t="s">
        <v>888</v>
      </c>
      <c r="I668" s="15" t="s">
        <v>687</v>
      </c>
      <c r="J668" s="15">
        <v>666</v>
      </c>
      <c r="K668" s="4">
        <v>-0.52231300000000003</v>
      </c>
      <c r="L668" s="4">
        <v>-1.705641</v>
      </c>
      <c r="M668" s="4">
        <v>0.86954100000000001</v>
      </c>
      <c r="N668" s="4">
        <v>-1.222286</v>
      </c>
      <c r="O668" s="4">
        <v>-8.2679000000000002E-2</v>
      </c>
      <c r="P668" s="4">
        <v>0.113009</v>
      </c>
      <c r="Q668" s="4">
        <v>-6.2842999999999996E-2</v>
      </c>
      <c r="R668" s="4">
        <v>0.17214299999999999</v>
      </c>
      <c r="S668" s="4">
        <v>-0.23164299999999999</v>
      </c>
      <c r="T668" s="4">
        <v>-1.0708770000000001</v>
      </c>
    </row>
    <row r="669" spans="1:20" ht="18">
      <c r="A669" s="2">
        <f t="shared" si="106"/>
        <v>668</v>
      </c>
      <c r="B669" s="7" t="s">
        <v>889</v>
      </c>
      <c r="I669" s="15" t="s">
        <v>688</v>
      </c>
      <c r="J669" s="15">
        <v>667</v>
      </c>
      <c r="K669" s="4">
        <v>-0.30014099999999999</v>
      </c>
      <c r="L669" s="4">
        <v>1.3595919999999999</v>
      </c>
      <c r="M669" s="4">
        <v>-1.1753290000000001</v>
      </c>
      <c r="N669" s="4">
        <v>2.1359050000000002</v>
      </c>
      <c r="O669" s="4">
        <v>0.189001</v>
      </c>
      <c r="P669" s="4">
        <v>-0.77150700000000005</v>
      </c>
      <c r="Q669" s="4">
        <v>0.53193199999999996</v>
      </c>
      <c r="R669" s="4">
        <v>0.866734</v>
      </c>
      <c r="S669" s="4">
        <v>-2.0260319999999998</v>
      </c>
      <c r="T669" s="4">
        <v>2.452661</v>
      </c>
    </row>
    <row r="670" spans="1:20" ht="18">
      <c r="A670" s="2">
        <f t="shared" si="106"/>
        <v>669</v>
      </c>
      <c r="B670" s="7" t="s">
        <v>890</v>
      </c>
      <c r="I670" s="15" t="s">
        <v>689</v>
      </c>
      <c r="J670" s="15">
        <v>668</v>
      </c>
      <c r="K670" s="4">
        <v>1.3403369999999999</v>
      </c>
      <c r="L670" s="4">
        <v>-0.40467199999999998</v>
      </c>
      <c r="M670" s="4">
        <v>-0.77355700000000005</v>
      </c>
      <c r="N670" s="4">
        <v>-0.53091500000000003</v>
      </c>
      <c r="O670" s="4">
        <v>0.57930400000000004</v>
      </c>
      <c r="P670" s="4">
        <v>-1.2011160000000001</v>
      </c>
      <c r="Q670" s="4">
        <v>0.30646299999999999</v>
      </c>
      <c r="R670" s="4">
        <v>1.980467</v>
      </c>
      <c r="S670" s="4">
        <v>0.39735399999999998</v>
      </c>
      <c r="T670" s="4">
        <v>-0.13880400000000001</v>
      </c>
    </row>
    <row r="671" spans="1:20" ht="18">
      <c r="A671" s="2">
        <f t="shared" si="106"/>
        <v>670</v>
      </c>
      <c r="B671" s="7" t="s">
        <v>891</v>
      </c>
      <c r="I671" s="15" t="s">
        <v>690</v>
      </c>
      <c r="J671" s="15">
        <v>669</v>
      </c>
      <c r="K671" s="4">
        <v>0.142625</v>
      </c>
      <c r="L671" s="4">
        <v>1.6312180000000001</v>
      </c>
      <c r="M671" s="4">
        <v>2.5700000000000001E-4</v>
      </c>
      <c r="N671" s="4">
        <v>0.78518699999999997</v>
      </c>
      <c r="O671" s="4">
        <v>-0.14759700000000001</v>
      </c>
      <c r="P671" s="4">
        <v>-0.41210999999999998</v>
      </c>
      <c r="Q671" s="4">
        <v>1.308465</v>
      </c>
      <c r="R671" s="4">
        <v>0.109999</v>
      </c>
      <c r="S671" s="4">
        <v>-0.394922</v>
      </c>
      <c r="T671" s="4">
        <v>0.64043300000000003</v>
      </c>
    </row>
    <row r="672" spans="1:20" ht="18">
      <c r="A672" s="2">
        <f t="shared" si="106"/>
        <v>671</v>
      </c>
      <c r="B672" s="7" t="s">
        <v>892</v>
      </c>
      <c r="I672" s="15" t="s">
        <v>691</v>
      </c>
      <c r="J672" s="15">
        <v>670</v>
      </c>
      <c r="K672" s="4">
        <v>1.336827</v>
      </c>
      <c r="L672" s="4">
        <v>-0.89704300000000003</v>
      </c>
      <c r="M672" s="4">
        <v>-0.90393100000000004</v>
      </c>
      <c r="N672" s="4">
        <v>0.15815499999999999</v>
      </c>
      <c r="O672" s="4">
        <v>0.24484400000000001</v>
      </c>
      <c r="P672" s="4">
        <v>-1.3724799999999999</v>
      </c>
      <c r="Q672" s="4">
        <v>-1.2254370000000001</v>
      </c>
      <c r="R672" s="4">
        <v>-0.514656</v>
      </c>
      <c r="S672" s="4">
        <v>1.590881</v>
      </c>
      <c r="T672" s="4">
        <v>-1.5734649999999999</v>
      </c>
    </row>
    <row r="673" spans="1:20" ht="18">
      <c r="A673" s="2">
        <f t="shared" si="106"/>
        <v>672</v>
      </c>
      <c r="B673" s="7" t="s">
        <v>893</v>
      </c>
      <c r="I673" s="15" t="s">
        <v>692</v>
      </c>
      <c r="J673" s="15">
        <v>671</v>
      </c>
      <c r="K673" s="4">
        <v>-2.054678</v>
      </c>
      <c r="L673" s="4">
        <v>0.88664699999999996</v>
      </c>
      <c r="M673" s="4">
        <v>-1.2847599999999999</v>
      </c>
      <c r="N673" s="4">
        <v>-1.599804</v>
      </c>
      <c r="O673" s="4">
        <v>-0.80184100000000003</v>
      </c>
      <c r="P673" s="4">
        <v>0.73843300000000001</v>
      </c>
      <c r="Q673" s="4">
        <v>-0.70684899999999995</v>
      </c>
      <c r="R673" s="4">
        <v>-0.47637200000000002</v>
      </c>
      <c r="S673" s="4">
        <v>-6.1235999999999999E-2</v>
      </c>
      <c r="T673" s="4">
        <v>-0.92481599999999997</v>
      </c>
    </row>
    <row r="674" spans="1:20" ht="18">
      <c r="A674" s="2">
        <f t="shared" si="106"/>
        <v>673</v>
      </c>
      <c r="B674" s="7" t="s">
        <v>894</v>
      </c>
      <c r="I674" s="15" t="s">
        <v>693</v>
      </c>
      <c r="J674" s="15">
        <v>672</v>
      </c>
      <c r="K674" s="4">
        <v>0.90293100000000004</v>
      </c>
      <c r="L674" s="4">
        <v>0.737792</v>
      </c>
      <c r="M674" s="4">
        <v>1.48613</v>
      </c>
      <c r="N674" s="4">
        <v>-0.84619900000000003</v>
      </c>
      <c r="O674" s="4">
        <v>-0.438587</v>
      </c>
      <c r="P674" s="4">
        <v>-1.0776950000000001</v>
      </c>
      <c r="Q674" s="4">
        <v>-1.650487</v>
      </c>
      <c r="R674" s="4">
        <v>0.195052</v>
      </c>
      <c r="S674" s="4">
        <v>-0.29958699999999999</v>
      </c>
      <c r="T674" s="4">
        <v>-1.108279</v>
      </c>
    </row>
    <row r="675" spans="1:20" ht="18">
      <c r="A675" s="2">
        <f t="shared" si="106"/>
        <v>674</v>
      </c>
      <c r="B675" s="7" t="s">
        <v>895</v>
      </c>
      <c r="I675" s="15" t="s">
        <v>694</v>
      </c>
      <c r="J675" s="15">
        <v>673</v>
      </c>
      <c r="K675" s="4">
        <v>-0.58998499999999998</v>
      </c>
      <c r="L675" s="4">
        <v>0.73567899999999997</v>
      </c>
      <c r="M675" s="4">
        <v>1.4243300000000001</v>
      </c>
      <c r="N675" s="4">
        <v>-0.20119899999999999</v>
      </c>
      <c r="O675" s="4">
        <v>-0.769737</v>
      </c>
      <c r="P675" s="4">
        <v>-0.51534800000000003</v>
      </c>
      <c r="Q675" s="4">
        <v>0.25086399999999998</v>
      </c>
      <c r="R675" s="4">
        <v>0.27987899999999999</v>
      </c>
      <c r="S675" s="4">
        <v>1.870762</v>
      </c>
      <c r="T675" s="4">
        <v>-1.0184820000000001</v>
      </c>
    </row>
    <row r="676" spans="1:20" ht="18">
      <c r="A676" s="2">
        <f t="shared" si="106"/>
        <v>675</v>
      </c>
      <c r="B676" s="7" t="s">
        <v>896</v>
      </c>
      <c r="I676" s="15" t="s">
        <v>695</v>
      </c>
      <c r="J676" s="15">
        <v>674</v>
      </c>
      <c r="K676" s="4">
        <v>1.792645</v>
      </c>
      <c r="L676" s="4">
        <v>-1.4790000000000001E-3</v>
      </c>
      <c r="M676" s="4">
        <v>-1.169611</v>
      </c>
      <c r="N676" s="4">
        <v>-0.42662899999999998</v>
      </c>
      <c r="O676" s="4">
        <v>-0.477991</v>
      </c>
      <c r="P676" s="4">
        <v>-0.99743599999999999</v>
      </c>
      <c r="Q676" s="4">
        <v>-1.4120079999999999</v>
      </c>
      <c r="R676" s="4">
        <v>7.8031000000000003E-2</v>
      </c>
      <c r="S676" s="4">
        <v>0.32735300000000001</v>
      </c>
      <c r="T676" s="4">
        <v>-0.38026900000000002</v>
      </c>
    </row>
    <row r="677" spans="1:20" ht="18">
      <c r="A677" s="2">
        <f t="shared" si="106"/>
        <v>676</v>
      </c>
      <c r="B677" s="7" t="s">
        <v>897</v>
      </c>
      <c r="I677" s="15" t="s">
        <v>696</v>
      </c>
      <c r="J677" s="15">
        <v>675</v>
      </c>
      <c r="K677" s="4">
        <v>0.47363300000000003</v>
      </c>
      <c r="L677" s="4">
        <v>0.52207899999999996</v>
      </c>
      <c r="M677" s="4">
        <v>-1.098924</v>
      </c>
      <c r="N677" s="4">
        <v>0.490948</v>
      </c>
      <c r="O677" s="4">
        <v>-1.0224</v>
      </c>
      <c r="P677" s="4">
        <v>0.29239300000000001</v>
      </c>
      <c r="Q677" s="4">
        <v>0.84161399999999997</v>
      </c>
      <c r="R677" s="4">
        <v>-0.57627600000000001</v>
      </c>
      <c r="S677" s="4">
        <v>-0.45702599999999999</v>
      </c>
      <c r="T677" s="4">
        <v>-1.4127099999999999</v>
      </c>
    </row>
    <row r="678" spans="1:20" ht="18">
      <c r="A678" s="2">
        <f t="shared" si="106"/>
        <v>677</v>
      </c>
      <c r="B678" s="7" t="s">
        <v>898</v>
      </c>
      <c r="I678" s="15" t="s">
        <v>697</v>
      </c>
      <c r="J678" s="15">
        <v>676</v>
      </c>
      <c r="K678" s="4">
        <v>0.78342100000000003</v>
      </c>
      <c r="L678" s="4">
        <v>1.192323</v>
      </c>
      <c r="M678" s="4">
        <v>0.75563499999999995</v>
      </c>
      <c r="N678" s="4">
        <v>8.1799999999999998E-3</v>
      </c>
      <c r="O678" s="4">
        <v>0.630463</v>
      </c>
      <c r="P678" s="4">
        <v>0.77232800000000001</v>
      </c>
      <c r="Q678" s="4">
        <v>2.1892960000000001</v>
      </c>
      <c r="R678" s="4">
        <v>-0.51579699999999995</v>
      </c>
      <c r="S678" s="4">
        <v>-1.4629779999999999</v>
      </c>
      <c r="T678" s="4">
        <v>0.33291399999999999</v>
      </c>
    </row>
    <row r="679" spans="1:20" ht="18">
      <c r="A679" s="2">
        <f t="shared" si="106"/>
        <v>678</v>
      </c>
      <c r="B679" s="7" t="s">
        <v>899</v>
      </c>
      <c r="I679" s="15" t="s">
        <v>698</v>
      </c>
      <c r="J679" s="15">
        <v>677</v>
      </c>
      <c r="K679" s="4">
        <v>0.73974700000000004</v>
      </c>
      <c r="L679" s="4">
        <v>0.235739</v>
      </c>
      <c r="M679" s="4">
        <v>0.38119799999999998</v>
      </c>
      <c r="N679" s="4">
        <v>-0.87804899999999997</v>
      </c>
      <c r="O679" s="4">
        <v>2.057547</v>
      </c>
      <c r="P679" s="4">
        <v>0.47929699999999997</v>
      </c>
      <c r="Q679" s="4">
        <v>-0.15309700000000001</v>
      </c>
      <c r="R679" s="4">
        <v>-1.392973</v>
      </c>
      <c r="S679" s="4">
        <v>0.95898099999999997</v>
      </c>
      <c r="T679" s="4">
        <v>-7.5666999999999998E-2</v>
      </c>
    </row>
    <row r="680" spans="1:20" ht="18">
      <c r="A680" s="2">
        <f t="shared" si="106"/>
        <v>679</v>
      </c>
      <c r="B680" s="7" t="s">
        <v>900</v>
      </c>
      <c r="I680" s="15" t="s">
        <v>699</v>
      </c>
      <c r="J680" s="15">
        <v>678</v>
      </c>
      <c r="K680" s="4">
        <v>0.49979400000000002</v>
      </c>
      <c r="L680" s="4">
        <v>-1.3783799999999999</v>
      </c>
      <c r="M680" s="4">
        <v>-0.88951899999999995</v>
      </c>
      <c r="N680" s="4">
        <v>-0.96951399999999999</v>
      </c>
      <c r="O680" s="4">
        <v>8.0881999999999996E-2</v>
      </c>
      <c r="P680" s="4">
        <v>0.742838</v>
      </c>
      <c r="Q680" s="4">
        <v>-0.26803100000000002</v>
      </c>
      <c r="R680" s="4">
        <v>0.74921000000000004</v>
      </c>
      <c r="S680" s="4">
        <v>0.14583299999999999</v>
      </c>
      <c r="T680" s="4">
        <v>-0.91129199999999999</v>
      </c>
    </row>
    <row r="681" spans="1:20" ht="18">
      <c r="A681" s="2">
        <f t="shared" si="106"/>
        <v>680</v>
      </c>
      <c r="B681" s="7" t="s">
        <v>901</v>
      </c>
      <c r="I681" s="15" t="s">
        <v>700</v>
      </c>
      <c r="J681" s="15">
        <v>679</v>
      </c>
      <c r="K681" s="4">
        <v>-1.1286659999999999</v>
      </c>
      <c r="L681" s="4">
        <v>-0.38711000000000001</v>
      </c>
      <c r="M681" s="4">
        <v>0.22473499999999999</v>
      </c>
      <c r="N681" s="4">
        <v>-2.3394699999999999</v>
      </c>
      <c r="O681" s="4">
        <v>-0.39099699999999998</v>
      </c>
      <c r="P681" s="4">
        <v>-0.50419099999999994</v>
      </c>
      <c r="Q681" s="4">
        <v>8.3557000000000006E-2</v>
      </c>
      <c r="R681" s="4">
        <v>-0.45765699999999998</v>
      </c>
      <c r="S681" s="4">
        <v>0.42093199999999997</v>
      </c>
      <c r="T681" s="4">
        <v>0.28412500000000002</v>
      </c>
    </row>
    <row r="682" spans="1:20" ht="18">
      <c r="A682" s="2">
        <f t="shared" si="106"/>
        <v>681</v>
      </c>
      <c r="B682" s="7" t="s">
        <v>902</v>
      </c>
      <c r="I682" s="15" t="s">
        <v>701</v>
      </c>
      <c r="J682" s="15">
        <v>680</v>
      </c>
      <c r="K682" s="4">
        <v>-1.4685410000000001</v>
      </c>
      <c r="L682" s="4">
        <v>-0.82727200000000001</v>
      </c>
      <c r="M682" s="4">
        <v>-0.90198100000000003</v>
      </c>
      <c r="N682" s="4">
        <v>-2.7019009999999999</v>
      </c>
      <c r="O682" s="4">
        <v>-0.28961599999999998</v>
      </c>
      <c r="P682" s="4">
        <v>0.23235</v>
      </c>
      <c r="Q682" s="4">
        <v>1.21116</v>
      </c>
      <c r="R682" s="4">
        <v>0.30489699999999997</v>
      </c>
      <c r="S682" s="4">
        <v>0.21563399999999999</v>
      </c>
      <c r="T682" s="4">
        <v>1.1846669999999999</v>
      </c>
    </row>
    <row r="683" spans="1:20" ht="18">
      <c r="A683" s="2">
        <f t="shared" si="106"/>
        <v>682</v>
      </c>
      <c r="B683" s="7" t="s">
        <v>903</v>
      </c>
      <c r="I683" s="15" t="s">
        <v>702</v>
      </c>
      <c r="J683" s="15">
        <v>681</v>
      </c>
      <c r="K683" s="4">
        <v>-0.68115000000000003</v>
      </c>
      <c r="L683" s="4">
        <v>0.76308500000000001</v>
      </c>
      <c r="M683" s="4">
        <v>0.71609999999999996</v>
      </c>
      <c r="N683" s="4">
        <v>-1.701049</v>
      </c>
      <c r="O683" s="4">
        <v>-0.15928400000000001</v>
      </c>
      <c r="P683" s="4">
        <v>-1.462394</v>
      </c>
      <c r="Q683" s="4">
        <v>6.3876000000000002E-2</v>
      </c>
      <c r="R683" s="4">
        <v>-1.9738020000000001</v>
      </c>
      <c r="S683" s="4">
        <v>-0.75748000000000004</v>
      </c>
      <c r="T683" s="4">
        <v>-8.1592999999999999E-2</v>
      </c>
    </row>
    <row r="684" spans="1:20" ht="18">
      <c r="A684" s="2">
        <f t="shared" si="106"/>
        <v>683</v>
      </c>
      <c r="B684" s="7" t="s">
        <v>904</v>
      </c>
      <c r="I684" s="15" t="s">
        <v>703</v>
      </c>
      <c r="J684" s="15">
        <v>682</v>
      </c>
      <c r="K684" s="4">
        <v>-1.9594849999999999</v>
      </c>
      <c r="L684" s="4">
        <v>1.096012</v>
      </c>
      <c r="M684" s="4">
        <v>-1.271725</v>
      </c>
      <c r="N684" s="4">
        <v>0.97986099999999998</v>
      </c>
      <c r="O684" s="4">
        <v>-0.39410600000000001</v>
      </c>
      <c r="P684" s="4">
        <v>0.81808199999999998</v>
      </c>
      <c r="Q684" s="4">
        <v>-0.63190599999999997</v>
      </c>
      <c r="R684" s="4">
        <v>0.481543</v>
      </c>
      <c r="S684" s="4">
        <v>1.3352850000000001</v>
      </c>
      <c r="T684" s="4">
        <v>-1.135969</v>
      </c>
    </row>
    <row r="685" spans="1:20" ht="18">
      <c r="A685" s="2">
        <f t="shared" si="106"/>
        <v>684</v>
      </c>
      <c r="B685" s="7" t="s">
        <v>905</v>
      </c>
      <c r="I685" s="15" t="s">
        <v>704</v>
      </c>
      <c r="J685" s="15">
        <v>683</v>
      </c>
      <c r="K685" s="4">
        <v>0.40920400000000001</v>
      </c>
      <c r="L685" s="4">
        <v>-0.77589699999999995</v>
      </c>
      <c r="M685" s="4">
        <v>0.107667</v>
      </c>
      <c r="N685" s="4">
        <v>1.299655</v>
      </c>
      <c r="O685" s="4">
        <v>0.70685699999999996</v>
      </c>
      <c r="P685" s="4">
        <v>0.63749400000000001</v>
      </c>
      <c r="Q685" s="4">
        <v>-3.0481569999999998</v>
      </c>
      <c r="R685" s="4">
        <v>2.3655629999999999</v>
      </c>
      <c r="S685" s="4">
        <v>1.8683240000000001</v>
      </c>
      <c r="T685" s="4">
        <v>0.41460599999999997</v>
      </c>
    </row>
    <row r="686" spans="1:20" ht="18">
      <c r="A686" s="2">
        <f t="shared" si="106"/>
        <v>685</v>
      </c>
      <c r="B686" s="7" t="s">
        <v>906</v>
      </c>
      <c r="I686" s="15" t="s">
        <v>705</v>
      </c>
      <c r="J686" s="15">
        <v>684</v>
      </c>
      <c r="K686" s="4">
        <v>1.0836110000000001</v>
      </c>
      <c r="L686" s="4">
        <v>-9.3919999999999993E-3</v>
      </c>
      <c r="M686" s="4">
        <v>-1.411637</v>
      </c>
      <c r="N686" s="4">
        <v>-0.56065500000000001</v>
      </c>
      <c r="O686" s="4">
        <v>1.526624</v>
      </c>
      <c r="P686" s="4">
        <v>1.6782140000000001</v>
      </c>
      <c r="Q686" s="4">
        <v>-1.3958200000000001</v>
      </c>
      <c r="R686" s="4">
        <v>-3.7699000000000003E-2</v>
      </c>
      <c r="S686" s="4">
        <v>-0.53909399999999996</v>
      </c>
      <c r="T686" s="4">
        <v>-0.72172999999999998</v>
      </c>
    </row>
    <row r="687" spans="1:20" ht="18">
      <c r="A687" s="2">
        <f t="shared" si="106"/>
        <v>686</v>
      </c>
      <c r="B687" s="7" t="s">
        <v>907</v>
      </c>
      <c r="I687" s="15" t="s">
        <v>706</v>
      </c>
      <c r="J687" s="15">
        <v>685</v>
      </c>
      <c r="K687" s="4">
        <v>0.15928600000000001</v>
      </c>
      <c r="L687" s="4">
        <v>1.0297780000000001</v>
      </c>
      <c r="M687" s="4">
        <v>1.1804749999999999</v>
      </c>
      <c r="N687" s="4">
        <v>-0.32548300000000002</v>
      </c>
      <c r="O687" s="4">
        <v>-0.75985100000000005</v>
      </c>
      <c r="P687" s="4">
        <v>-1.3655889999999999</v>
      </c>
      <c r="Q687" s="4">
        <v>-0.12653500000000001</v>
      </c>
      <c r="R687" s="4">
        <v>-0.45407799999999998</v>
      </c>
      <c r="S687" s="4">
        <v>-2.6841390000000001</v>
      </c>
      <c r="T687" s="4">
        <v>0.95201999999999998</v>
      </c>
    </row>
    <row r="688" spans="1:20" ht="18">
      <c r="A688" s="2">
        <f t="shared" si="106"/>
        <v>687</v>
      </c>
      <c r="B688" s="7" t="s">
        <v>908</v>
      </c>
      <c r="I688" s="15" t="s">
        <v>707</v>
      </c>
      <c r="J688" s="15">
        <v>686</v>
      </c>
      <c r="K688" s="4">
        <v>1.145108</v>
      </c>
      <c r="L688" s="4">
        <v>0.29203200000000001</v>
      </c>
      <c r="M688" s="4">
        <v>1.430658</v>
      </c>
      <c r="N688" s="4">
        <v>-0.61301600000000001</v>
      </c>
      <c r="O688" s="4">
        <v>-0.21757699999999999</v>
      </c>
      <c r="P688" s="4">
        <v>0.88531700000000002</v>
      </c>
      <c r="Q688" s="4">
        <v>0.49230200000000002</v>
      </c>
      <c r="R688" s="4">
        <v>1.09117</v>
      </c>
      <c r="S688" s="4">
        <v>0.24851000000000001</v>
      </c>
      <c r="T688" s="4">
        <v>0.68757900000000005</v>
      </c>
    </row>
    <row r="689" spans="1:20" ht="18">
      <c r="A689" s="2">
        <f t="shared" si="106"/>
        <v>688</v>
      </c>
      <c r="B689" s="7" t="s">
        <v>909</v>
      </c>
      <c r="I689" s="15" t="s">
        <v>708</v>
      </c>
      <c r="J689" s="15">
        <v>687</v>
      </c>
      <c r="K689" s="4">
        <v>0.50315600000000005</v>
      </c>
      <c r="L689" s="4">
        <v>1.281547</v>
      </c>
      <c r="M689" s="4">
        <v>7.6742000000000005E-2</v>
      </c>
      <c r="N689" s="4">
        <v>2.0668280000000001</v>
      </c>
      <c r="O689" s="4">
        <v>-0.68621600000000005</v>
      </c>
      <c r="P689" s="4">
        <v>-1.1698310000000001</v>
      </c>
      <c r="Q689" s="4">
        <v>0.34432099999999999</v>
      </c>
      <c r="R689" s="4">
        <v>-0.49139100000000002</v>
      </c>
      <c r="S689" s="4">
        <v>-2.3227310000000001</v>
      </c>
      <c r="T689" s="4">
        <v>-1.3495079999999999</v>
      </c>
    </row>
    <row r="690" spans="1:20" ht="18">
      <c r="A690" s="2">
        <f t="shared" si="106"/>
        <v>689</v>
      </c>
      <c r="B690" s="7" t="s">
        <v>910</v>
      </c>
      <c r="I690" s="15" t="s">
        <v>709</v>
      </c>
      <c r="J690" s="15">
        <v>688</v>
      </c>
      <c r="K690" s="4">
        <v>-1.8452E-2</v>
      </c>
      <c r="L690" s="4">
        <v>-0.181171</v>
      </c>
      <c r="M690" s="4">
        <v>0.33172200000000002</v>
      </c>
      <c r="N690" s="4">
        <v>-1.2357610000000001</v>
      </c>
      <c r="O690" s="4">
        <v>-0.75660499999999997</v>
      </c>
      <c r="P690" s="4">
        <v>-1.1577E-2</v>
      </c>
      <c r="Q690" s="4">
        <v>-4.5280000000000001E-2</v>
      </c>
      <c r="R690" s="4">
        <v>-0.74244200000000005</v>
      </c>
      <c r="S690" s="4">
        <v>0.82957899999999996</v>
      </c>
      <c r="T690" s="4">
        <v>-0.77650600000000003</v>
      </c>
    </row>
    <row r="691" spans="1:20" ht="18">
      <c r="A691" s="2">
        <f t="shared" si="106"/>
        <v>690</v>
      </c>
      <c r="B691" s="7" t="s">
        <v>911</v>
      </c>
      <c r="I691" s="15" t="s">
        <v>710</v>
      </c>
      <c r="J691" s="15">
        <v>689</v>
      </c>
      <c r="K691" s="4">
        <v>-1.357316</v>
      </c>
      <c r="L691" s="4">
        <v>-0.14197000000000001</v>
      </c>
      <c r="M691" s="4">
        <v>-1.9421459999999999</v>
      </c>
      <c r="N691" s="4">
        <v>0.31668200000000002</v>
      </c>
      <c r="O691" s="4">
        <v>8.1194000000000002E-2</v>
      </c>
      <c r="P691" s="4">
        <v>-7.8385999999999997E-2</v>
      </c>
      <c r="Q691" s="4">
        <v>-0.12817000000000001</v>
      </c>
      <c r="R691" s="4">
        <v>0.25004500000000002</v>
      </c>
      <c r="S691" s="4">
        <v>0.64781100000000003</v>
      </c>
      <c r="T691" s="4">
        <v>0.107641</v>
      </c>
    </row>
    <row r="692" spans="1:20" ht="18">
      <c r="A692" s="2">
        <f t="shared" si="106"/>
        <v>691</v>
      </c>
      <c r="B692" s="7" t="s">
        <v>912</v>
      </c>
      <c r="I692" s="15" t="s">
        <v>711</v>
      </c>
      <c r="J692" s="15">
        <v>690</v>
      </c>
      <c r="K692" s="4">
        <v>-0.96288399999999996</v>
      </c>
      <c r="L692" s="4">
        <v>-1.3503039999999999</v>
      </c>
      <c r="M692" s="4">
        <v>0.59603099999999998</v>
      </c>
      <c r="N692" s="4">
        <v>-1.1478060000000001</v>
      </c>
      <c r="O692" s="4">
        <v>-1.8794000000000002E-2</v>
      </c>
      <c r="P692" s="4">
        <v>0.928118</v>
      </c>
      <c r="Q692" s="4">
        <v>-0.240262</v>
      </c>
      <c r="R692" s="4">
        <v>-0.96024399999999999</v>
      </c>
      <c r="S692" s="4">
        <v>-0.177511</v>
      </c>
      <c r="T692" s="4">
        <v>-0.95586899999999997</v>
      </c>
    </row>
    <row r="693" spans="1:20" ht="18">
      <c r="A693" s="2">
        <f t="shared" si="106"/>
        <v>692</v>
      </c>
      <c r="B693" s="7" t="s">
        <v>913</v>
      </c>
      <c r="I693" s="15" t="s">
        <v>712</v>
      </c>
      <c r="J693" s="15">
        <v>691</v>
      </c>
      <c r="K693" s="4">
        <v>1.5392330000000001</v>
      </c>
      <c r="L693" s="4">
        <v>0.41725899999999999</v>
      </c>
      <c r="M693" s="4">
        <v>1.106066</v>
      </c>
      <c r="N693" s="4">
        <v>0.95099900000000004</v>
      </c>
      <c r="O693" s="4">
        <v>0.90169999999999995</v>
      </c>
      <c r="P693" s="4">
        <v>0.72819299999999998</v>
      </c>
      <c r="Q693" s="4">
        <v>2.57681</v>
      </c>
      <c r="R693" s="4">
        <v>-1.248551</v>
      </c>
      <c r="S693" s="4">
        <v>-0.34595900000000002</v>
      </c>
      <c r="T693" s="4">
        <v>1.3566260000000001</v>
      </c>
    </row>
    <row r="694" spans="1:20" ht="18">
      <c r="A694" s="2">
        <f t="shared" si="106"/>
        <v>693</v>
      </c>
      <c r="B694" s="7" t="s">
        <v>914</v>
      </c>
      <c r="I694" s="15" t="s">
        <v>713</v>
      </c>
      <c r="J694" s="15">
        <v>692</v>
      </c>
      <c r="K694" s="4">
        <v>-0.67114600000000002</v>
      </c>
      <c r="L694" s="4">
        <v>-1.1213200000000001</v>
      </c>
      <c r="M694" s="4">
        <v>0.93154700000000001</v>
      </c>
      <c r="N694" s="4">
        <v>-1.111909</v>
      </c>
      <c r="O694" s="4">
        <v>-2.354244</v>
      </c>
      <c r="P694" s="4">
        <v>1.204534</v>
      </c>
      <c r="Q694" s="4">
        <v>-1.350641</v>
      </c>
      <c r="R694" s="4">
        <v>0.940751</v>
      </c>
      <c r="S694" s="4">
        <v>0.28987800000000002</v>
      </c>
      <c r="T694" s="4">
        <v>0.71715700000000004</v>
      </c>
    </row>
    <row r="695" spans="1:20" ht="18">
      <c r="A695" s="2">
        <f t="shared" si="106"/>
        <v>694</v>
      </c>
      <c r="B695" s="7" t="s">
        <v>915</v>
      </c>
      <c r="I695" s="15" t="s">
        <v>714</v>
      </c>
      <c r="J695" s="15">
        <v>693</v>
      </c>
      <c r="K695" s="4">
        <v>1.0915189999999999</v>
      </c>
      <c r="L695" s="4">
        <v>-1.576633</v>
      </c>
      <c r="M695" s="4">
        <v>-0.54742800000000003</v>
      </c>
      <c r="N695" s="4">
        <v>0.51337500000000003</v>
      </c>
      <c r="O695" s="4">
        <v>-0.31837300000000002</v>
      </c>
      <c r="P695" s="4">
        <v>-4.2007999999999997E-2</v>
      </c>
      <c r="Q695" s="4">
        <v>0.82417700000000005</v>
      </c>
      <c r="R695" s="4">
        <v>-0.88184399999999996</v>
      </c>
      <c r="S695" s="4">
        <v>0.10311099999999999</v>
      </c>
      <c r="T695" s="4">
        <v>-0.43449500000000002</v>
      </c>
    </row>
    <row r="696" spans="1:20" ht="18">
      <c r="A696" s="2">
        <f t="shared" si="106"/>
        <v>695</v>
      </c>
      <c r="B696" s="7" t="s">
        <v>916</v>
      </c>
      <c r="I696" s="15" t="s">
        <v>715</v>
      </c>
      <c r="J696" s="15">
        <v>694</v>
      </c>
      <c r="K696" s="4">
        <v>0.38150899999999999</v>
      </c>
      <c r="L696" s="4">
        <v>-0.44038699999999997</v>
      </c>
      <c r="M696" s="4">
        <v>-1.6072709999999999</v>
      </c>
      <c r="N696" s="4">
        <v>0.35996</v>
      </c>
      <c r="O696" s="4">
        <v>-1.780851</v>
      </c>
      <c r="P696" s="4">
        <v>-1.827869</v>
      </c>
      <c r="Q696" s="4">
        <v>-0.561724</v>
      </c>
      <c r="R696" s="4">
        <v>3.7100000000000001E-2</v>
      </c>
      <c r="S696" s="4">
        <v>-0.62451699999999999</v>
      </c>
      <c r="T696" s="4">
        <v>-1.02071</v>
      </c>
    </row>
    <row r="697" spans="1:20" ht="18">
      <c r="A697" s="2">
        <f t="shared" si="106"/>
        <v>696</v>
      </c>
      <c r="B697" s="7" t="s">
        <v>917</v>
      </c>
      <c r="I697" s="15" t="s">
        <v>716</v>
      </c>
      <c r="J697" s="15">
        <v>695</v>
      </c>
      <c r="K697" s="4">
        <v>0.21756600000000001</v>
      </c>
      <c r="L697" s="4">
        <v>-0.10485899999999999</v>
      </c>
      <c r="M697" s="4">
        <v>8.1408999999999995E-2</v>
      </c>
      <c r="N697" s="4">
        <v>0.35684199999999999</v>
      </c>
      <c r="O697" s="4">
        <v>0.404057</v>
      </c>
      <c r="P697" s="4">
        <v>-0.55206900000000003</v>
      </c>
      <c r="Q697" s="4">
        <v>1.011433</v>
      </c>
      <c r="R697" s="4">
        <v>-0.30253400000000003</v>
      </c>
      <c r="S697" s="4">
        <v>-0.78361099999999995</v>
      </c>
      <c r="T697" s="4">
        <v>-0.77863099999999996</v>
      </c>
    </row>
    <row r="698" spans="1:20" ht="18">
      <c r="A698" s="2">
        <f t="shared" si="106"/>
        <v>697</v>
      </c>
      <c r="B698" s="7" t="s">
        <v>918</v>
      </c>
      <c r="I698" s="15" t="s">
        <v>717</v>
      </c>
      <c r="J698" s="15">
        <v>696</v>
      </c>
      <c r="K698" s="4">
        <v>-0.13104199999999999</v>
      </c>
      <c r="L698" s="4">
        <v>0.61171200000000003</v>
      </c>
      <c r="M698" s="4">
        <v>0.898451</v>
      </c>
      <c r="N698" s="4">
        <v>-0.211064</v>
      </c>
      <c r="O698" s="4">
        <v>-0.58619699999999997</v>
      </c>
      <c r="P698" s="4">
        <v>1.5218879999999999</v>
      </c>
      <c r="Q698" s="4">
        <v>0.17634</v>
      </c>
      <c r="R698" s="4">
        <v>-0.60226100000000005</v>
      </c>
      <c r="S698" s="4">
        <v>1.3035209999999999</v>
      </c>
      <c r="T698" s="4">
        <v>2.1512850000000001</v>
      </c>
    </row>
    <row r="699" spans="1:20" ht="18">
      <c r="A699" s="2">
        <f t="shared" si="106"/>
        <v>698</v>
      </c>
      <c r="B699" s="7" t="s">
        <v>919</v>
      </c>
      <c r="I699" s="15" t="s">
        <v>718</v>
      </c>
      <c r="J699" s="15">
        <v>697</v>
      </c>
      <c r="K699" s="4">
        <v>0.216502</v>
      </c>
      <c r="L699" s="4">
        <v>0.36514400000000002</v>
      </c>
      <c r="M699" s="4">
        <v>0.246172</v>
      </c>
      <c r="N699" s="4">
        <v>-0.36404300000000001</v>
      </c>
      <c r="O699" s="4">
        <v>0.98704999999999998</v>
      </c>
      <c r="P699" s="4">
        <v>-2.218296</v>
      </c>
      <c r="Q699" s="4">
        <v>2.7271960000000002</v>
      </c>
      <c r="R699" s="4">
        <v>-1.1869799999999999</v>
      </c>
      <c r="S699" s="4">
        <v>1.1337649999999999</v>
      </c>
      <c r="T699" s="4">
        <v>0.85534600000000005</v>
      </c>
    </row>
    <row r="700" spans="1:20" ht="18">
      <c r="A700" s="2">
        <f t="shared" si="106"/>
        <v>699</v>
      </c>
      <c r="B700" s="7" t="s">
        <v>920</v>
      </c>
      <c r="I700" s="15" t="s">
        <v>719</v>
      </c>
      <c r="J700" s="15">
        <v>698</v>
      </c>
      <c r="K700" s="4">
        <v>-1.189719</v>
      </c>
      <c r="L700" s="4">
        <v>-0.94734499999999999</v>
      </c>
      <c r="M700" s="4">
        <v>1.5533110000000001</v>
      </c>
      <c r="N700" s="4">
        <v>0.449237</v>
      </c>
      <c r="O700" s="4">
        <v>-0.98988399999999999</v>
      </c>
      <c r="P700" s="4">
        <v>0.40628700000000001</v>
      </c>
      <c r="Q700" s="4">
        <v>-0.26560299999999998</v>
      </c>
      <c r="R700" s="4">
        <v>-7.6397000000000007E-2</v>
      </c>
      <c r="S700" s="4">
        <v>0.99658199999999997</v>
      </c>
      <c r="T700" s="4">
        <v>-0.87531800000000004</v>
      </c>
    </row>
    <row r="701" spans="1:20" ht="18">
      <c r="A701" s="2">
        <f t="shared" si="106"/>
        <v>700</v>
      </c>
      <c r="B701" s="7" t="s">
        <v>921</v>
      </c>
      <c r="I701" s="15" t="s">
        <v>720</v>
      </c>
      <c r="J701" s="15">
        <v>699</v>
      </c>
      <c r="K701" s="4">
        <v>7.8244999999999995E-2</v>
      </c>
      <c r="L701" s="4">
        <v>2.0748329999999999</v>
      </c>
      <c r="M701" s="4">
        <v>1.2498089999999999</v>
      </c>
      <c r="N701" s="4">
        <v>-0.51974600000000004</v>
      </c>
      <c r="O701" s="4">
        <v>-0.153146</v>
      </c>
      <c r="P701" s="4">
        <v>-1.156453</v>
      </c>
      <c r="Q701" s="4">
        <v>0.79768499999999998</v>
      </c>
      <c r="R701" s="4">
        <v>-1.056538</v>
      </c>
      <c r="S701" s="4">
        <v>-1.8680909999999999</v>
      </c>
      <c r="T701" s="4">
        <v>-3.859E-3</v>
      </c>
    </row>
    <row r="702" spans="1:20" ht="18">
      <c r="A702" s="2">
        <f t="shared" si="106"/>
        <v>701</v>
      </c>
      <c r="B702" s="7" t="s">
        <v>922</v>
      </c>
      <c r="I702" s="15" t="s">
        <v>721</v>
      </c>
      <c r="J702" s="15">
        <v>700</v>
      </c>
      <c r="K702" s="4">
        <v>-4.5623999999999998E-2</v>
      </c>
      <c r="L702" s="4">
        <v>-0.33308900000000002</v>
      </c>
      <c r="M702" s="4">
        <v>1.337405</v>
      </c>
      <c r="N702" s="4">
        <v>0.47581299999999999</v>
      </c>
      <c r="O702" s="4">
        <v>0.66561300000000001</v>
      </c>
      <c r="P702" s="4">
        <v>0.26316899999999999</v>
      </c>
      <c r="Q702" s="4">
        <v>1.7989360000000001</v>
      </c>
      <c r="R702" s="4">
        <v>1.303347</v>
      </c>
      <c r="S702" s="4">
        <v>-0.85596300000000003</v>
      </c>
      <c r="T702" s="4">
        <v>-1.8089459999999999</v>
      </c>
    </row>
    <row r="703" spans="1:20" ht="18">
      <c r="A703" s="2">
        <f t="shared" si="106"/>
        <v>702</v>
      </c>
      <c r="B703" s="7" t="s">
        <v>923</v>
      </c>
      <c r="I703" s="15" t="s">
        <v>722</v>
      </c>
      <c r="J703" s="15">
        <v>701</v>
      </c>
      <c r="K703" s="4">
        <v>-2.8639969999999999</v>
      </c>
      <c r="L703" s="4">
        <v>-1.7711000000000001E-2</v>
      </c>
      <c r="M703" s="4">
        <v>-0.36275400000000002</v>
      </c>
      <c r="N703" s="4">
        <v>-1.496699</v>
      </c>
      <c r="O703" s="4">
        <v>-0.51058499999999996</v>
      </c>
      <c r="P703" s="4">
        <v>0.85593900000000001</v>
      </c>
      <c r="Q703" s="4">
        <v>-1.7539359999999999</v>
      </c>
      <c r="R703" s="4">
        <v>0.71007299999999995</v>
      </c>
      <c r="S703" s="4">
        <v>2.5645039999999999</v>
      </c>
      <c r="T703" s="4">
        <v>0.86079499999999998</v>
      </c>
    </row>
    <row r="704" spans="1:20" ht="18">
      <c r="A704" s="2">
        <f t="shared" si="106"/>
        <v>703</v>
      </c>
      <c r="B704" s="7" t="s">
        <v>924</v>
      </c>
      <c r="I704" s="15" t="s">
        <v>723</v>
      </c>
      <c r="J704" s="15">
        <v>702</v>
      </c>
      <c r="K704" s="4">
        <v>0.52617199999999997</v>
      </c>
      <c r="L704" s="4">
        <v>-0.351051</v>
      </c>
      <c r="M704" s="4">
        <v>1.3017270000000001</v>
      </c>
      <c r="N704" s="4">
        <v>1.5268619999999999</v>
      </c>
      <c r="O704" s="4">
        <v>1.1155919999999999</v>
      </c>
      <c r="P704" s="4">
        <v>-0.27622000000000002</v>
      </c>
      <c r="Q704" s="4">
        <v>-7.1875999999999995E-2</v>
      </c>
      <c r="R704" s="4">
        <v>0.71300600000000003</v>
      </c>
      <c r="S704" s="4">
        <v>-7.4171000000000001E-2</v>
      </c>
      <c r="T704" s="4">
        <v>0.74497999999999998</v>
      </c>
    </row>
    <row r="705" spans="1:20" ht="18">
      <c r="A705" s="2">
        <f t="shared" si="106"/>
        <v>704</v>
      </c>
      <c r="B705" s="7" t="s">
        <v>925</v>
      </c>
      <c r="I705" s="15" t="s">
        <v>724</v>
      </c>
      <c r="J705" s="15">
        <v>703</v>
      </c>
      <c r="K705" s="4">
        <v>1.629067</v>
      </c>
      <c r="L705" s="4">
        <v>-0.26361000000000001</v>
      </c>
      <c r="M705" s="4">
        <v>0.65185999999999999</v>
      </c>
      <c r="N705" s="4">
        <v>1.770114</v>
      </c>
      <c r="O705" s="4">
        <v>-0.48188999999999999</v>
      </c>
      <c r="P705" s="4">
        <v>0.953461</v>
      </c>
      <c r="Q705" s="4">
        <v>0.88613399999999998</v>
      </c>
      <c r="R705" s="4">
        <v>1.2486489999999999</v>
      </c>
      <c r="S705" s="4">
        <v>-1.8854759999999999</v>
      </c>
      <c r="T705" s="4">
        <v>-0.65045299999999995</v>
      </c>
    </row>
    <row r="706" spans="1:20" ht="18">
      <c r="A706" s="2">
        <f t="shared" si="106"/>
        <v>705</v>
      </c>
      <c r="B706" s="7" t="s">
        <v>926</v>
      </c>
      <c r="I706" s="15" t="s">
        <v>725</v>
      </c>
      <c r="J706" s="15">
        <v>704</v>
      </c>
      <c r="K706" s="4">
        <v>-0.59878500000000001</v>
      </c>
      <c r="L706" s="4">
        <v>-5.8106999999999999E-2</v>
      </c>
      <c r="M706" s="4">
        <v>-1.6549830000000001</v>
      </c>
      <c r="N706" s="4">
        <v>1.537312</v>
      </c>
      <c r="O706" s="4">
        <v>-1.089075</v>
      </c>
      <c r="P706" s="4">
        <v>0.55322899999999997</v>
      </c>
      <c r="Q706" s="4">
        <v>1.312811</v>
      </c>
      <c r="R706" s="4">
        <v>0.45151799999999997</v>
      </c>
      <c r="S706" s="4">
        <v>-0.97257700000000002</v>
      </c>
      <c r="T706" s="4">
        <v>-0.47289399999999998</v>
      </c>
    </row>
    <row r="707" spans="1:20" ht="18">
      <c r="A707" s="2">
        <f t="shared" ref="A707:A770" si="107">ROW()-1</f>
        <v>706</v>
      </c>
      <c r="B707" s="7" t="s">
        <v>927</v>
      </c>
      <c r="I707" s="15" t="s">
        <v>726</v>
      </c>
      <c r="J707" s="15">
        <v>705</v>
      </c>
      <c r="K707" s="4">
        <v>-0.24751400000000001</v>
      </c>
      <c r="L707" s="4">
        <v>-0.26850800000000002</v>
      </c>
      <c r="M707" s="4">
        <v>1.339861</v>
      </c>
      <c r="N707" s="4">
        <v>-1.8680950000000001</v>
      </c>
      <c r="O707" s="4">
        <v>0.11303299999999999</v>
      </c>
      <c r="P707" s="4">
        <v>0.88356199999999996</v>
      </c>
      <c r="Q707" s="4">
        <v>-1.876862</v>
      </c>
      <c r="R707" s="4">
        <v>-0.72924599999999995</v>
      </c>
      <c r="S707" s="4">
        <v>1.5243869999999999</v>
      </c>
      <c r="T707" s="4">
        <v>-0.56307600000000002</v>
      </c>
    </row>
    <row r="708" spans="1:20" ht="18">
      <c r="A708" s="2">
        <f t="shared" si="107"/>
        <v>707</v>
      </c>
      <c r="B708" s="7" t="s">
        <v>928</v>
      </c>
      <c r="I708" s="15" t="s">
        <v>727</v>
      </c>
      <c r="J708" s="15">
        <v>706</v>
      </c>
      <c r="K708" s="4">
        <v>2.081337</v>
      </c>
      <c r="L708" s="4">
        <v>1.834659</v>
      </c>
      <c r="M708" s="4">
        <v>-0.62585900000000005</v>
      </c>
      <c r="N708" s="4">
        <v>0.49587599999999998</v>
      </c>
      <c r="O708" s="4">
        <v>1.1768000000000001E-2</v>
      </c>
      <c r="P708" s="4">
        <v>-2.0299999999999999E-2</v>
      </c>
      <c r="Q708" s="4">
        <v>-0.78156000000000003</v>
      </c>
      <c r="R708" s="4">
        <v>1.53529</v>
      </c>
      <c r="S708" s="4">
        <v>-9.9864999999999995E-2</v>
      </c>
      <c r="T708" s="4">
        <v>-0.15255199999999999</v>
      </c>
    </row>
    <row r="709" spans="1:20" ht="18">
      <c r="A709" s="2">
        <f t="shared" si="107"/>
        <v>708</v>
      </c>
      <c r="B709" s="7" t="s">
        <v>929</v>
      </c>
      <c r="I709" s="15" t="s">
        <v>728</v>
      </c>
      <c r="J709" s="15">
        <v>707</v>
      </c>
      <c r="K709" s="4">
        <v>-0.73733499999999996</v>
      </c>
      <c r="L709" s="4">
        <v>0.50689499999999998</v>
      </c>
      <c r="M709" s="4">
        <v>0.480433</v>
      </c>
      <c r="N709" s="4">
        <v>1.067223</v>
      </c>
      <c r="O709" s="4">
        <v>2.3486189999999998</v>
      </c>
      <c r="P709" s="4">
        <v>-0.26273400000000002</v>
      </c>
      <c r="Q709" s="4">
        <v>1.6972860000000001</v>
      </c>
      <c r="R709" s="4">
        <v>0.55801299999999998</v>
      </c>
      <c r="S709" s="4">
        <v>-0.99894400000000005</v>
      </c>
      <c r="T709" s="4">
        <v>1.9228719999999999</v>
      </c>
    </row>
    <row r="710" spans="1:20" ht="18">
      <c r="A710" s="2">
        <f t="shared" si="107"/>
        <v>709</v>
      </c>
      <c r="B710" s="7" t="s">
        <v>930</v>
      </c>
      <c r="I710" s="15" t="s">
        <v>729</v>
      </c>
      <c r="J710" s="15">
        <v>708</v>
      </c>
      <c r="K710" s="4">
        <v>1.4846950000000001</v>
      </c>
      <c r="L710" s="4">
        <v>0.64443099999999998</v>
      </c>
      <c r="M710" s="4">
        <v>0.51055799999999996</v>
      </c>
      <c r="N710" s="4">
        <v>-0.169845</v>
      </c>
      <c r="O710" s="4">
        <v>0.96456900000000001</v>
      </c>
      <c r="P710" s="4">
        <v>-0.73184000000000005</v>
      </c>
      <c r="Q710" s="4">
        <v>0.43002600000000002</v>
      </c>
      <c r="R710" s="4">
        <v>-1.7051419999999999</v>
      </c>
      <c r="S710" s="4">
        <v>0.69980500000000001</v>
      </c>
      <c r="T710" s="4">
        <v>-0.562307</v>
      </c>
    </row>
    <row r="711" spans="1:20" ht="18">
      <c r="A711" s="2">
        <f t="shared" si="107"/>
        <v>710</v>
      </c>
      <c r="B711" s="7" t="s">
        <v>931</v>
      </c>
      <c r="I711" s="15" t="s">
        <v>730</v>
      </c>
      <c r="J711" s="15">
        <v>709</v>
      </c>
      <c r="K711" s="4">
        <v>0.52092099999999997</v>
      </c>
      <c r="L711" s="4">
        <v>-3.4405999999999999E-2</v>
      </c>
      <c r="M711" s="4">
        <v>0.42399300000000001</v>
      </c>
      <c r="N711" s="4">
        <v>0.548732</v>
      </c>
      <c r="O711" s="4">
        <v>-0.34478300000000001</v>
      </c>
      <c r="P711" s="4">
        <v>0.45424500000000001</v>
      </c>
      <c r="Q711" s="4">
        <v>-2.1472820000000001</v>
      </c>
      <c r="R711" s="4">
        <v>-1.3789549999999999</v>
      </c>
      <c r="S711" s="4">
        <v>0.96270199999999995</v>
      </c>
      <c r="T711" s="4">
        <v>-0.27930199999999999</v>
      </c>
    </row>
    <row r="712" spans="1:20" ht="18">
      <c r="A712" s="2">
        <f t="shared" si="107"/>
        <v>711</v>
      </c>
      <c r="B712" s="7" t="s">
        <v>932</v>
      </c>
      <c r="I712" s="15" t="s">
        <v>731</v>
      </c>
      <c r="J712" s="15">
        <v>710</v>
      </c>
      <c r="K712" s="4">
        <v>-1.593852</v>
      </c>
      <c r="L712" s="4">
        <v>-0.49650100000000003</v>
      </c>
      <c r="M712" s="4">
        <v>0.88756900000000005</v>
      </c>
      <c r="N712" s="4">
        <v>-1.208385</v>
      </c>
      <c r="O712" s="4">
        <v>-0.147643</v>
      </c>
      <c r="P712" s="4">
        <v>9.0510999999999994E-2</v>
      </c>
      <c r="Q712" s="4">
        <v>-0.59082999999999997</v>
      </c>
      <c r="R712" s="4">
        <v>-0.84419900000000003</v>
      </c>
      <c r="S712" s="4">
        <v>1.6104670000000001</v>
      </c>
      <c r="T712" s="4">
        <v>-0.74268299999999998</v>
      </c>
    </row>
    <row r="713" spans="1:20" ht="18">
      <c r="A713" s="2">
        <f t="shared" si="107"/>
        <v>712</v>
      </c>
      <c r="B713" s="7" t="s">
        <v>933</v>
      </c>
      <c r="I713" s="15" t="s">
        <v>732</v>
      </c>
      <c r="J713" s="15">
        <v>711</v>
      </c>
      <c r="K713" s="4">
        <v>0.73043100000000005</v>
      </c>
      <c r="L713" s="4">
        <v>-0.25878299999999999</v>
      </c>
      <c r="M713" s="4">
        <v>0.118423</v>
      </c>
      <c r="N713" s="4">
        <v>5.484E-2</v>
      </c>
      <c r="O713" s="4">
        <v>0.99818300000000004</v>
      </c>
      <c r="P713" s="4">
        <v>-1.884385</v>
      </c>
      <c r="Q713" s="4">
        <v>1.020267</v>
      </c>
      <c r="R713" s="4">
        <v>0.35655300000000001</v>
      </c>
      <c r="S713" s="4">
        <v>1.1838360000000001</v>
      </c>
      <c r="T713" s="4">
        <v>-0.90818500000000002</v>
      </c>
    </row>
    <row r="714" spans="1:20" ht="18">
      <c r="A714" s="2">
        <f t="shared" si="107"/>
        <v>713</v>
      </c>
      <c r="B714" s="7" t="s">
        <v>934</v>
      </c>
      <c r="I714" s="15" t="s">
        <v>733</v>
      </c>
      <c r="J714" s="15">
        <v>712</v>
      </c>
      <c r="K714" s="4">
        <v>-1.534694</v>
      </c>
      <c r="L714" s="4">
        <v>-0.79782799999999998</v>
      </c>
      <c r="M714" s="4">
        <v>0.19642399999999999</v>
      </c>
      <c r="N714" s="4">
        <v>0.31196200000000002</v>
      </c>
      <c r="O714" s="4">
        <v>-0.81478799999999996</v>
      </c>
      <c r="P714" s="4">
        <v>0.22118499999999999</v>
      </c>
      <c r="Q714" s="4">
        <v>1.4159809999999999</v>
      </c>
      <c r="R714" s="4">
        <v>-0.65456000000000003</v>
      </c>
      <c r="S714" s="4">
        <v>0.25152099999999999</v>
      </c>
      <c r="T714" s="4">
        <v>1.636288</v>
      </c>
    </row>
    <row r="715" spans="1:20" ht="18">
      <c r="A715" s="2">
        <f t="shared" si="107"/>
        <v>714</v>
      </c>
      <c r="B715" s="7" t="s">
        <v>935</v>
      </c>
      <c r="I715" s="15" t="s">
        <v>734</v>
      </c>
      <c r="J715" s="15">
        <v>713</v>
      </c>
      <c r="K715" s="4">
        <v>0.80926900000000002</v>
      </c>
      <c r="L715" s="4">
        <v>-2.6145290000000001</v>
      </c>
      <c r="M715" s="4">
        <v>-0.65061199999999997</v>
      </c>
      <c r="N715" s="4">
        <v>0.24265999999999999</v>
      </c>
      <c r="O715" s="4">
        <v>1.002367</v>
      </c>
      <c r="P715" s="4">
        <v>3.6774000000000001E-2</v>
      </c>
      <c r="Q715" s="4">
        <v>1.8676280000000001</v>
      </c>
      <c r="R715" s="4">
        <v>0.94450400000000001</v>
      </c>
      <c r="S715" s="4">
        <v>0.96547000000000005</v>
      </c>
      <c r="T715" s="4">
        <v>-1.285048</v>
      </c>
    </row>
    <row r="716" spans="1:20" ht="18">
      <c r="A716" s="2">
        <f t="shared" si="107"/>
        <v>715</v>
      </c>
      <c r="B716" s="7" t="s">
        <v>936</v>
      </c>
      <c r="I716" s="15" t="s">
        <v>735</v>
      </c>
      <c r="J716" s="15">
        <v>714</v>
      </c>
      <c r="K716" s="4">
        <v>-2.2111360000000002</v>
      </c>
      <c r="L716" s="4">
        <v>-0.16969600000000001</v>
      </c>
      <c r="M716" s="4">
        <v>-0.58805099999999999</v>
      </c>
      <c r="N716" s="4">
        <v>0.52877399999999997</v>
      </c>
      <c r="O716" s="4">
        <v>1.0812269999999999</v>
      </c>
      <c r="P716" s="4">
        <v>1.085248</v>
      </c>
      <c r="Q716" s="4">
        <v>-0.92501699999999998</v>
      </c>
      <c r="R716" s="4">
        <v>-0.83687999999999996</v>
      </c>
      <c r="S716" s="4">
        <v>-8.9442999999999995E-2</v>
      </c>
      <c r="T716" s="4">
        <v>-0.43217100000000003</v>
      </c>
    </row>
    <row r="717" spans="1:20" ht="18">
      <c r="A717" s="2">
        <f t="shared" si="107"/>
        <v>716</v>
      </c>
      <c r="B717" s="7" t="s">
        <v>937</v>
      </c>
      <c r="I717" s="15" t="s">
        <v>736</v>
      </c>
      <c r="J717" s="15">
        <v>715</v>
      </c>
      <c r="K717" s="4">
        <v>-0.43273200000000001</v>
      </c>
      <c r="L717" s="4">
        <v>-0.51914099999999996</v>
      </c>
      <c r="M717" s="4">
        <v>1.4195439999999999</v>
      </c>
      <c r="N717" s="4">
        <v>1.9499390000000001</v>
      </c>
      <c r="O717" s="4">
        <v>-1.1918139999999999</v>
      </c>
      <c r="P717" s="4">
        <v>1.7234370000000001</v>
      </c>
      <c r="Q717" s="4">
        <v>-1.819374</v>
      </c>
      <c r="R717" s="4">
        <v>-0.28224199999999999</v>
      </c>
      <c r="S717" s="4">
        <v>0.73822299999999996</v>
      </c>
      <c r="T717" s="4">
        <v>0.186974</v>
      </c>
    </row>
    <row r="718" spans="1:20" ht="18">
      <c r="A718" s="2">
        <f t="shared" si="107"/>
        <v>717</v>
      </c>
      <c r="B718" s="7" t="s">
        <v>938</v>
      </c>
      <c r="I718" s="15" t="s">
        <v>737</v>
      </c>
      <c r="J718" s="15">
        <v>716</v>
      </c>
      <c r="K718" s="4">
        <v>1.541183</v>
      </c>
      <c r="L718" s="4">
        <v>7.9241000000000006E-2</v>
      </c>
      <c r="M718" s="4">
        <v>-0.634297</v>
      </c>
      <c r="N718" s="4">
        <v>1.419786</v>
      </c>
      <c r="O718" s="4">
        <v>0.60705699999999996</v>
      </c>
      <c r="P718" s="4">
        <v>-1.8850849999999999</v>
      </c>
      <c r="Q718" s="4">
        <v>-1.3016719999999999</v>
      </c>
      <c r="R718" s="4">
        <v>-0.66147100000000003</v>
      </c>
      <c r="S718" s="4">
        <v>1.1593230000000001</v>
      </c>
      <c r="T718" s="4">
        <v>-0.44190299999999999</v>
      </c>
    </row>
    <row r="719" spans="1:20" ht="18">
      <c r="A719" s="2">
        <f t="shared" si="107"/>
        <v>718</v>
      </c>
      <c r="B719" s="7" t="s">
        <v>939</v>
      </c>
      <c r="I719" s="15" t="s">
        <v>738</v>
      </c>
      <c r="J719" s="15">
        <v>717</v>
      </c>
      <c r="K719" s="4">
        <v>1.9400379999999999</v>
      </c>
      <c r="L719" s="4">
        <v>-1.5547709999999999</v>
      </c>
      <c r="M719" s="4">
        <v>-0.121976</v>
      </c>
      <c r="N719" s="4">
        <v>1.926828</v>
      </c>
      <c r="O719" s="4">
        <v>-0.51896299999999995</v>
      </c>
      <c r="P719" s="4">
        <v>0.76733200000000001</v>
      </c>
      <c r="Q719" s="4">
        <v>1.5062850000000001</v>
      </c>
      <c r="R719" s="4">
        <v>-1.4830380000000001</v>
      </c>
      <c r="S719" s="4">
        <v>0.20080200000000001</v>
      </c>
      <c r="T719" s="4">
        <v>0.76817299999999999</v>
      </c>
    </row>
    <row r="720" spans="1:20" ht="18">
      <c r="A720" s="2">
        <f t="shared" si="107"/>
        <v>719</v>
      </c>
      <c r="B720" s="7" t="s">
        <v>940</v>
      </c>
      <c r="I720" s="15" t="s">
        <v>739</v>
      </c>
      <c r="J720" s="15">
        <v>718</v>
      </c>
      <c r="K720" s="4">
        <v>-1.243752</v>
      </c>
      <c r="L720" s="4">
        <v>-0.78879999999999995</v>
      </c>
      <c r="M720" s="4">
        <v>-0.96581799999999995</v>
      </c>
      <c r="N720" s="4">
        <v>-1.2598039999999999</v>
      </c>
      <c r="O720" s="4">
        <v>1.322999</v>
      </c>
      <c r="P720" s="4">
        <v>0.17080200000000001</v>
      </c>
      <c r="Q720" s="4">
        <v>-0.66192499999999999</v>
      </c>
      <c r="R720" s="4">
        <v>0.68113800000000002</v>
      </c>
      <c r="S720" s="4">
        <v>-0.238423</v>
      </c>
      <c r="T720" s="4">
        <v>1.077439</v>
      </c>
    </row>
    <row r="721" spans="1:20" ht="18">
      <c r="A721" s="2">
        <f t="shared" si="107"/>
        <v>720</v>
      </c>
      <c r="B721" s="7" t="s">
        <v>941</v>
      </c>
      <c r="I721" s="15" t="s">
        <v>740</v>
      </c>
      <c r="J721" s="15">
        <v>719</v>
      </c>
      <c r="K721" s="4">
        <v>0.29585899999999998</v>
      </c>
      <c r="L721" s="4">
        <v>0.76204400000000005</v>
      </c>
      <c r="M721" s="4">
        <v>-0.96323300000000001</v>
      </c>
      <c r="N721" s="4">
        <v>1.53999</v>
      </c>
      <c r="O721" s="4">
        <v>-0.56147199999999997</v>
      </c>
      <c r="P721" s="4">
        <v>0.93645900000000004</v>
      </c>
      <c r="Q721" s="4">
        <v>0.57584800000000003</v>
      </c>
      <c r="R721" s="4">
        <v>-1.6491499999999999</v>
      </c>
      <c r="S721" s="4">
        <v>0.74489700000000003</v>
      </c>
      <c r="T721" s="4">
        <v>1.3316220000000001</v>
      </c>
    </row>
    <row r="722" spans="1:20" ht="18">
      <c r="A722" s="2">
        <f t="shared" si="107"/>
        <v>721</v>
      </c>
      <c r="B722" s="7" t="s">
        <v>942</v>
      </c>
      <c r="I722" s="15" t="s">
        <v>741</v>
      </c>
      <c r="J722" s="15">
        <v>720</v>
      </c>
      <c r="K722" s="4">
        <v>-0.81145900000000004</v>
      </c>
      <c r="L722" s="4">
        <v>1.6246210000000001</v>
      </c>
      <c r="M722" s="4">
        <v>1.4495009999999999</v>
      </c>
      <c r="N722" s="4">
        <v>0.83964300000000003</v>
      </c>
      <c r="O722" s="4">
        <v>1.4634819999999999</v>
      </c>
      <c r="P722" s="4">
        <v>-5.6999999999999998E-4</v>
      </c>
      <c r="Q722" s="4">
        <v>0.35655300000000001</v>
      </c>
      <c r="R722" s="4">
        <v>1.2449490000000001</v>
      </c>
      <c r="S722" s="4">
        <v>0.447376</v>
      </c>
      <c r="T722" s="4">
        <v>0.34956500000000001</v>
      </c>
    </row>
    <row r="723" spans="1:20" ht="18">
      <c r="A723" s="2">
        <f t="shared" si="107"/>
        <v>722</v>
      </c>
      <c r="B723" s="7" t="s">
        <v>943</v>
      </c>
      <c r="I723" s="15" t="s">
        <v>742</v>
      </c>
      <c r="J723" s="15">
        <v>721</v>
      </c>
      <c r="K723" s="4">
        <v>0.39683499999999999</v>
      </c>
      <c r="L723" s="4">
        <v>-0.14273</v>
      </c>
      <c r="M723" s="4">
        <v>-0.94581199999999999</v>
      </c>
      <c r="N723" s="4">
        <v>-1.366654</v>
      </c>
      <c r="O723" s="4">
        <v>-7.2049000000000002E-2</v>
      </c>
      <c r="P723" s="4">
        <v>0.90518100000000001</v>
      </c>
      <c r="Q723" s="4">
        <v>0.64131800000000005</v>
      </c>
      <c r="R723" s="4">
        <v>1.3844240000000001</v>
      </c>
      <c r="S723" s="4">
        <v>1.082317</v>
      </c>
      <c r="T723" s="4">
        <v>-0.80559599999999998</v>
      </c>
    </row>
    <row r="724" spans="1:20" ht="18">
      <c r="A724" s="2">
        <f t="shared" si="107"/>
        <v>723</v>
      </c>
      <c r="B724" s="7" t="s">
        <v>944</v>
      </c>
      <c r="I724" s="15" t="s">
        <v>743</v>
      </c>
      <c r="J724" s="15">
        <v>722</v>
      </c>
      <c r="K724" s="4">
        <v>0.13353100000000001</v>
      </c>
      <c r="L724" s="4">
        <v>1.6902489999999999</v>
      </c>
      <c r="M724" s="4">
        <v>0.84045400000000003</v>
      </c>
      <c r="N724" s="4">
        <v>-0.28925000000000001</v>
      </c>
      <c r="O724" s="4">
        <v>0.36921599999999999</v>
      </c>
      <c r="P724" s="4">
        <v>0.123072</v>
      </c>
      <c r="Q724" s="4">
        <v>-1.3687069999999999</v>
      </c>
      <c r="R724" s="4">
        <v>1.8360890000000001</v>
      </c>
      <c r="S724" s="4">
        <v>-1.773827</v>
      </c>
      <c r="T724" s="4">
        <v>0.14537600000000001</v>
      </c>
    </row>
    <row r="725" spans="1:20" ht="18">
      <c r="A725" s="2">
        <f t="shared" si="107"/>
        <v>724</v>
      </c>
      <c r="B725" s="7" t="s">
        <v>945</v>
      </c>
      <c r="I725" s="15" t="s">
        <v>744</v>
      </c>
      <c r="J725" s="15">
        <v>723</v>
      </c>
      <c r="K725" s="4">
        <v>-0.32795299999999999</v>
      </c>
      <c r="L725" s="4">
        <v>-0.31229299999999999</v>
      </c>
      <c r="M725" s="4">
        <v>-0.66821900000000001</v>
      </c>
      <c r="N725" s="4">
        <v>-1.1616599999999999</v>
      </c>
      <c r="O725" s="4">
        <v>-1.3387260000000001</v>
      </c>
      <c r="P725" s="4">
        <v>-2.6169000000000001E-2</v>
      </c>
      <c r="Q725" s="4">
        <v>-6.2040000000000003E-3</v>
      </c>
      <c r="R725" s="4">
        <v>0.143678</v>
      </c>
      <c r="S725" s="4">
        <v>0.24401400000000001</v>
      </c>
      <c r="T725" s="4">
        <v>5.9318000000000003E-2</v>
      </c>
    </row>
    <row r="726" spans="1:20" ht="18">
      <c r="A726" s="2">
        <f t="shared" si="107"/>
        <v>725</v>
      </c>
      <c r="B726" s="7" t="s">
        <v>946</v>
      </c>
      <c r="I726" s="15" t="s">
        <v>745</v>
      </c>
      <c r="J726" s="15">
        <v>724</v>
      </c>
      <c r="K726" s="4">
        <v>5.2444999999999999E-2</v>
      </c>
      <c r="L726" s="4">
        <v>-7.7098E-2</v>
      </c>
      <c r="M726" s="4">
        <v>-9.9653000000000005E-2</v>
      </c>
      <c r="N726" s="4">
        <v>-0.83768600000000004</v>
      </c>
      <c r="O726" s="4">
        <v>4.7399999999999998E-2</v>
      </c>
      <c r="P726" s="4">
        <v>1.907529</v>
      </c>
      <c r="Q726" s="4">
        <v>-0.49748100000000001</v>
      </c>
      <c r="R726" s="4">
        <v>-0.82249099999999997</v>
      </c>
      <c r="S726" s="4">
        <v>0.90844100000000005</v>
      </c>
      <c r="T726" s="4">
        <v>-0.46142300000000003</v>
      </c>
    </row>
    <row r="727" spans="1:20" ht="18">
      <c r="A727" s="2">
        <f t="shared" si="107"/>
        <v>726</v>
      </c>
      <c r="B727" s="7" t="s">
        <v>947</v>
      </c>
      <c r="I727" s="15" t="s">
        <v>746</v>
      </c>
      <c r="J727" s="15">
        <v>725</v>
      </c>
      <c r="K727" s="4">
        <v>-0.38427699999999998</v>
      </c>
      <c r="L727" s="4">
        <v>-0.44894099999999998</v>
      </c>
      <c r="M727" s="4">
        <v>-0.83980200000000005</v>
      </c>
      <c r="N727" s="4">
        <v>-1.505582</v>
      </c>
      <c r="O727" s="4">
        <v>1.0000230000000001</v>
      </c>
      <c r="P727" s="4">
        <v>0.83165800000000001</v>
      </c>
      <c r="Q727" s="4">
        <v>-2.2651289999999999</v>
      </c>
      <c r="R727" s="4">
        <v>-0.60509599999999997</v>
      </c>
      <c r="S727" s="4">
        <v>0.30958799999999997</v>
      </c>
      <c r="T727" s="4">
        <v>-0.716727</v>
      </c>
    </row>
    <row r="728" spans="1:20" ht="18">
      <c r="A728" s="2">
        <f t="shared" si="107"/>
        <v>727</v>
      </c>
      <c r="B728" s="7" t="s">
        <v>948</v>
      </c>
      <c r="I728" s="15" t="s">
        <v>747</v>
      </c>
      <c r="J728" s="15">
        <v>726</v>
      </c>
      <c r="K728" s="4">
        <v>-1.001811</v>
      </c>
      <c r="L728" s="4">
        <v>-0.83342300000000002</v>
      </c>
      <c r="M728" s="4">
        <v>-0.835866</v>
      </c>
      <c r="N728" s="4">
        <v>0.16586300000000001</v>
      </c>
      <c r="O728" s="4">
        <v>-1.9883329999999999</v>
      </c>
      <c r="P728" s="4">
        <v>0.43734400000000001</v>
      </c>
      <c r="Q728" s="4">
        <v>-0.48787700000000001</v>
      </c>
      <c r="R728" s="4">
        <v>-8.8632000000000002E-2</v>
      </c>
      <c r="S728" s="4">
        <v>0.20752200000000001</v>
      </c>
      <c r="T728" s="4">
        <v>-1.1854089999999999</v>
      </c>
    </row>
    <row r="729" spans="1:20" ht="18">
      <c r="A729" s="2">
        <f t="shared" si="107"/>
        <v>728</v>
      </c>
      <c r="B729" s="7" t="s">
        <v>949</v>
      </c>
      <c r="I729" s="15" t="s">
        <v>748</v>
      </c>
      <c r="J729" s="15">
        <v>727</v>
      </c>
      <c r="K729" s="4">
        <v>-0.47575200000000001</v>
      </c>
      <c r="L729" s="4">
        <v>-1.389059</v>
      </c>
      <c r="M729" s="4">
        <v>0.96871099999999999</v>
      </c>
      <c r="N729" s="4">
        <v>-1.2773410000000001</v>
      </c>
      <c r="O729" s="4">
        <v>-0.32714300000000002</v>
      </c>
      <c r="P729" s="4">
        <v>2.255274</v>
      </c>
      <c r="Q729" s="4">
        <v>-0.57855999999999996</v>
      </c>
      <c r="R729" s="4">
        <v>1.7840259999999999</v>
      </c>
      <c r="S729" s="4">
        <v>0.27437299999999998</v>
      </c>
      <c r="T729" s="4">
        <v>-0.57220400000000005</v>
      </c>
    </row>
    <row r="730" spans="1:20" ht="18">
      <c r="A730" s="2">
        <f t="shared" si="107"/>
        <v>729</v>
      </c>
      <c r="B730" s="7" t="s">
        <v>950</v>
      </c>
      <c r="I730" s="15" t="s">
        <v>749</v>
      </c>
      <c r="J730" s="15">
        <v>728</v>
      </c>
      <c r="K730" s="4">
        <v>0.69300499999999998</v>
      </c>
      <c r="L730" s="4">
        <v>-0.123584</v>
      </c>
      <c r="M730" s="4">
        <v>-4.3074000000000001E-2</v>
      </c>
      <c r="N730" s="4">
        <v>7.4788999999999994E-2</v>
      </c>
      <c r="O730" s="4">
        <v>-1.8994E-2</v>
      </c>
      <c r="P730" s="4">
        <v>-0.79823200000000005</v>
      </c>
      <c r="Q730" s="4">
        <v>2.462205</v>
      </c>
      <c r="R730" s="4">
        <v>-2.0717430000000001</v>
      </c>
      <c r="S730" s="4">
        <v>1.33474</v>
      </c>
      <c r="T730" s="4">
        <v>-0.36661100000000002</v>
      </c>
    </row>
    <row r="731" spans="1:20" ht="18">
      <c r="A731" s="2">
        <f t="shared" si="107"/>
        <v>730</v>
      </c>
      <c r="B731" s="7" t="s">
        <v>951</v>
      </c>
      <c r="I731" s="15" t="s">
        <v>750</v>
      </c>
      <c r="J731" s="15">
        <v>729</v>
      </c>
      <c r="K731" s="4">
        <v>1.2174780000000001</v>
      </c>
      <c r="L731" s="4">
        <v>2.887181</v>
      </c>
      <c r="M731" s="4">
        <v>0.91498900000000005</v>
      </c>
      <c r="N731" s="4">
        <v>-0.527613</v>
      </c>
      <c r="O731" s="4">
        <v>-1.527706</v>
      </c>
      <c r="P731" s="4">
        <v>-0.47975000000000001</v>
      </c>
      <c r="Q731" s="4">
        <v>-0.51516799999999996</v>
      </c>
      <c r="R731" s="4">
        <v>-1.52904</v>
      </c>
      <c r="S731" s="4">
        <v>1.146698</v>
      </c>
      <c r="T731" s="4">
        <v>-0.62469799999999998</v>
      </c>
    </row>
    <row r="732" spans="1:20" ht="18">
      <c r="A732" s="2">
        <f t="shared" si="107"/>
        <v>731</v>
      </c>
      <c r="B732" s="7" t="s">
        <v>952</v>
      </c>
      <c r="I732" s="15" t="s">
        <v>751</v>
      </c>
      <c r="J732" s="15">
        <v>730</v>
      </c>
      <c r="K732" s="4">
        <v>-1.1307339999999999</v>
      </c>
      <c r="L732" s="4">
        <v>-0.88639800000000002</v>
      </c>
      <c r="M732" s="4">
        <v>6.3438999999999995E-2</v>
      </c>
      <c r="N732" s="4">
        <v>-1.6308199999999999</v>
      </c>
      <c r="O732" s="4">
        <v>0.84620399999999996</v>
      </c>
      <c r="P732" s="4">
        <v>0.55971599999999999</v>
      </c>
      <c r="Q732" s="4">
        <v>0.43112099999999998</v>
      </c>
      <c r="R732" s="4">
        <v>2.1970010000000002</v>
      </c>
      <c r="S732" s="4">
        <v>0.76291299999999995</v>
      </c>
      <c r="T732" s="4">
        <v>-0.35557699999999998</v>
      </c>
    </row>
    <row r="733" spans="1:20" ht="18">
      <c r="A733" s="2">
        <f t="shared" si="107"/>
        <v>732</v>
      </c>
      <c r="B733" s="7" t="s">
        <v>953</v>
      </c>
      <c r="I733" s="15" t="s">
        <v>752</v>
      </c>
      <c r="J733" s="15">
        <v>731</v>
      </c>
      <c r="K733" s="4">
        <v>1.1941079999999999</v>
      </c>
      <c r="L733" s="4">
        <v>0.71441600000000005</v>
      </c>
      <c r="M733" s="4">
        <v>-0.11865299999999999</v>
      </c>
      <c r="N733" s="4">
        <v>0.40692</v>
      </c>
      <c r="O733" s="4">
        <v>1.745028</v>
      </c>
      <c r="P733" s="4">
        <v>-0.22242200000000001</v>
      </c>
      <c r="Q733" s="4">
        <v>0.27658199999999999</v>
      </c>
      <c r="R733" s="4">
        <v>0.37195600000000001</v>
      </c>
      <c r="S733" s="4">
        <v>1.404922</v>
      </c>
      <c r="T733" s="4">
        <v>-0.64574399999999998</v>
      </c>
    </row>
    <row r="734" spans="1:20" ht="18">
      <c r="A734" s="2">
        <f t="shared" si="107"/>
        <v>733</v>
      </c>
      <c r="B734" s="7" t="s">
        <v>954</v>
      </c>
      <c r="I734" s="15" t="s">
        <v>753</v>
      </c>
      <c r="J734" s="15">
        <v>732</v>
      </c>
      <c r="K734" s="4">
        <v>-2.9166690000000002</v>
      </c>
      <c r="L734" s="4">
        <v>-0.10609499999999999</v>
      </c>
      <c r="M734" s="4">
        <v>-0.99821300000000002</v>
      </c>
      <c r="N734" s="4">
        <v>-0.82484800000000003</v>
      </c>
      <c r="O734" s="4">
        <v>0.53227199999999997</v>
      </c>
      <c r="P734" s="4">
        <v>1.27362</v>
      </c>
      <c r="Q734" s="4">
        <v>1.138646</v>
      </c>
      <c r="R734" s="4">
        <v>-0.80167699999999997</v>
      </c>
      <c r="S734" s="4">
        <v>0.89886100000000002</v>
      </c>
      <c r="T734" s="4">
        <v>-0.324683</v>
      </c>
    </row>
    <row r="735" spans="1:20" ht="18">
      <c r="A735" s="2">
        <f t="shared" si="107"/>
        <v>734</v>
      </c>
      <c r="B735" s="7" t="s">
        <v>955</v>
      </c>
      <c r="I735" s="15" t="s">
        <v>754</v>
      </c>
      <c r="J735" s="15">
        <v>733</v>
      </c>
      <c r="K735" s="4">
        <v>-1.859488</v>
      </c>
      <c r="L735" s="4">
        <v>-0.80643699999999996</v>
      </c>
      <c r="M735" s="4">
        <v>1.9837959999999999</v>
      </c>
      <c r="N735" s="4">
        <v>0.95667100000000005</v>
      </c>
      <c r="O735" s="4">
        <v>-0.117226</v>
      </c>
      <c r="P735" s="4">
        <v>0.35082799999999997</v>
      </c>
      <c r="Q735" s="4">
        <v>-0.64496299999999995</v>
      </c>
      <c r="R735" s="4">
        <v>0.84781499999999999</v>
      </c>
      <c r="S735" s="4">
        <v>3.1782509999999999</v>
      </c>
      <c r="T735" s="4">
        <v>-0.69933900000000004</v>
      </c>
    </row>
    <row r="736" spans="1:20" ht="18">
      <c r="A736" s="2">
        <f t="shared" si="107"/>
        <v>735</v>
      </c>
      <c r="B736" s="7" t="s">
        <v>956</v>
      </c>
      <c r="I736" s="15" t="s">
        <v>755</v>
      </c>
      <c r="J736" s="15">
        <v>734</v>
      </c>
      <c r="K736" s="4">
        <v>1.7084820000000001</v>
      </c>
      <c r="L736" s="4">
        <v>1.500024</v>
      </c>
      <c r="M736" s="4">
        <v>-0.568249</v>
      </c>
      <c r="N736" s="4">
        <v>1.2501199999999999</v>
      </c>
      <c r="O736" s="4">
        <v>2.4394</v>
      </c>
      <c r="P736" s="4">
        <v>-0.89191600000000004</v>
      </c>
      <c r="Q736" s="4">
        <v>-0.98770100000000005</v>
      </c>
      <c r="R736" s="4">
        <v>-0.47715000000000002</v>
      </c>
      <c r="S736" s="4">
        <v>-1.5708899999999999</v>
      </c>
      <c r="T736" s="4">
        <v>0.80568499999999998</v>
      </c>
    </row>
    <row r="737" spans="1:20" ht="18">
      <c r="A737" s="2">
        <f t="shared" si="107"/>
        <v>736</v>
      </c>
      <c r="B737" s="7" t="s">
        <v>957</v>
      </c>
      <c r="I737" s="15" t="s">
        <v>756</v>
      </c>
      <c r="J737" s="15">
        <v>735</v>
      </c>
      <c r="K737" s="4">
        <v>-0.40807199999999999</v>
      </c>
      <c r="L737" s="4">
        <v>0.99077099999999996</v>
      </c>
      <c r="M737" s="4">
        <v>-7.7515000000000001E-2</v>
      </c>
      <c r="N737" s="4">
        <v>1.555105</v>
      </c>
      <c r="O737" s="4">
        <v>-0.199796</v>
      </c>
      <c r="P737" s="4">
        <v>-0.31347000000000003</v>
      </c>
      <c r="Q737" s="4">
        <v>0.395625</v>
      </c>
      <c r="R737" s="4">
        <v>0.16379299999999999</v>
      </c>
      <c r="S737" s="4">
        <v>0.82434499999999999</v>
      </c>
      <c r="T737" s="4">
        <v>-0.65376000000000001</v>
      </c>
    </row>
    <row r="738" spans="1:20" ht="18">
      <c r="A738" s="2">
        <f t="shared" si="107"/>
        <v>737</v>
      </c>
      <c r="B738" s="7" t="s">
        <v>958</v>
      </c>
      <c r="I738" s="15" t="s">
        <v>757</v>
      </c>
      <c r="J738" s="15">
        <v>736</v>
      </c>
      <c r="K738" s="4">
        <v>-0.68856799999999996</v>
      </c>
      <c r="L738" s="4">
        <v>1.663284</v>
      </c>
      <c r="M738" s="4">
        <v>-1.2786409999999999</v>
      </c>
      <c r="N738" s="4">
        <v>1.0217780000000001</v>
      </c>
      <c r="O738" s="4">
        <v>-0.36616399999999999</v>
      </c>
      <c r="P738" s="4">
        <v>-1.826738</v>
      </c>
      <c r="Q738" s="4">
        <v>-0.63749299999999998</v>
      </c>
      <c r="R738" s="4">
        <v>0.71974000000000005</v>
      </c>
      <c r="S738" s="4">
        <v>-1.7391259999999999</v>
      </c>
      <c r="T738" s="4">
        <v>0.27065499999999998</v>
      </c>
    </row>
    <row r="739" spans="1:20" ht="18">
      <c r="A739" s="2">
        <f t="shared" si="107"/>
        <v>738</v>
      </c>
      <c r="B739" s="7" t="s">
        <v>959</v>
      </c>
      <c r="I739" s="15" t="s">
        <v>758</v>
      </c>
      <c r="J739" s="15">
        <v>737</v>
      </c>
      <c r="K739" s="4">
        <v>9.2108999999999996E-2</v>
      </c>
      <c r="L739" s="4">
        <v>0.43267699999999998</v>
      </c>
      <c r="M739" s="4">
        <v>0.19928299999999999</v>
      </c>
      <c r="N739" s="4">
        <v>1.568802</v>
      </c>
      <c r="O739" s="4">
        <v>0.297462</v>
      </c>
      <c r="P739" s="4">
        <v>-0.222358</v>
      </c>
      <c r="Q739" s="4">
        <v>1.471398</v>
      </c>
      <c r="R739" s="4">
        <v>0.63594200000000001</v>
      </c>
      <c r="S739" s="4">
        <v>-0.42124800000000001</v>
      </c>
      <c r="T739" s="4">
        <v>1.8619289999999999</v>
      </c>
    </row>
    <row r="740" spans="1:20" ht="18">
      <c r="A740" s="2">
        <f t="shared" si="107"/>
        <v>739</v>
      </c>
      <c r="B740" s="7" t="s">
        <v>960</v>
      </c>
      <c r="I740" s="15" t="s">
        <v>759</v>
      </c>
      <c r="J740" s="15">
        <v>738</v>
      </c>
      <c r="K740" s="4">
        <v>0.79122599999999998</v>
      </c>
      <c r="L740" s="4">
        <v>-0.76929700000000001</v>
      </c>
      <c r="M740" s="4">
        <v>0.228544</v>
      </c>
      <c r="N740" s="4">
        <v>0.31309500000000001</v>
      </c>
      <c r="O740" s="4">
        <v>1.589053</v>
      </c>
      <c r="P740" s="4">
        <v>-0.59098499999999998</v>
      </c>
      <c r="Q740" s="4">
        <v>0.32753900000000002</v>
      </c>
      <c r="R740" s="4">
        <v>-0.57915799999999995</v>
      </c>
      <c r="S740" s="4">
        <v>-1.439276</v>
      </c>
      <c r="T740" s="4">
        <v>-0.29351699999999997</v>
      </c>
    </row>
    <row r="741" spans="1:20" ht="18">
      <c r="A741" s="2">
        <f t="shared" si="107"/>
        <v>740</v>
      </c>
      <c r="B741" s="7" t="s">
        <v>961</v>
      </c>
      <c r="I741" s="15" t="s">
        <v>760</v>
      </c>
      <c r="J741" s="15">
        <v>739</v>
      </c>
      <c r="K741" s="4">
        <v>0.38920300000000002</v>
      </c>
      <c r="L741" s="4">
        <v>-2.2869730000000001</v>
      </c>
      <c r="M741" s="4">
        <v>-1.126403</v>
      </c>
      <c r="N741" s="4">
        <v>1.462213</v>
      </c>
      <c r="O741" s="4">
        <v>-0.70987500000000003</v>
      </c>
      <c r="P741" s="4">
        <v>0.67052</v>
      </c>
      <c r="Q741" s="4">
        <v>-0.26509899999999997</v>
      </c>
      <c r="R741" s="4">
        <v>-1.369388</v>
      </c>
      <c r="S741" s="4">
        <v>0.18318899999999999</v>
      </c>
      <c r="T741" s="4">
        <v>-0.49660900000000002</v>
      </c>
    </row>
    <row r="742" spans="1:20" ht="18">
      <c r="A742" s="2">
        <f t="shared" si="107"/>
        <v>741</v>
      </c>
      <c r="B742" s="7" t="s">
        <v>962</v>
      </c>
      <c r="I742" s="15" t="s">
        <v>761</v>
      </c>
      <c r="J742" s="15">
        <v>740</v>
      </c>
      <c r="K742" s="4">
        <v>1.0632360000000001</v>
      </c>
      <c r="L742" s="4">
        <v>2.132123</v>
      </c>
      <c r="M742" s="4">
        <v>1.150522</v>
      </c>
      <c r="N742" s="4">
        <v>-0.79153799999999996</v>
      </c>
      <c r="O742" s="4">
        <v>-0.72713799999999995</v>
      </c>
      <c r="P742" s="4">
        <v>0.68186400000000003</v>
      </c>
      <c r="Q742" s="4">
        <v>1.653707</v>
      </c>
      <c r="R742" s="4">
        <v>-1.1379779999999999</v>
      </c>
      <c r="S742" s="4">
        <v>0.304286</v>
      </c>
      <c r="T742" s="4">
        <v>-0.62380400000000003</v>
      </c>
    </row>
    <row r="743" spans="1:20" ht="18">
      <c r="A743" s="2">
        <f t="shared" si="107"/>
        <v>742</v>
      </c>
      <c r="B743" s="7" t="s">
        <v>963</v>
      </c>
      <c r="I743" s="15" t="s">
        <v>762</v>
      </c>
      <c r="J743" s="15">
        <v>741</v>
      </c>
      <c r="K743" s="4">
        <v>-6.1033999999999998E-2</v>
      </c>
      <c r="L743" s="4">
        <v>-0.81406100000000003</v>
      </c>
      <c r="M743" s="4">
        <v>-0.78102400000000005</v>
      </c>
      <c r="N743" s="4">
        <v>1.129964</v>
      </c>
      <c r="O743" s="4">
        <v>-2.151675</v>
      </c>
      <c r="P743" s="4">
        <v>-1.9441109999999999</v>
      </c>
      <c r="Q743" s="4">
        <v>1.9556469999999999</v>
      </c>
      <c r="R743" s="4">
        <v>-2.3772069999999998</v>
      </c>
      <c r="S743" s="4">
        <v>-0.59298099999999998</v>
      </c>
      <c r="T743" s="4">
        <v>0.100548</v>
      </c>
    </row>
    <row r="744" spans="1:20" ht="18">
      <c r="A744" s="2">
        <f t="shared" si="107"/>
        <v>743</v>
      </c>
      <c r="B744" s="7" t="s">
        <v>964</v>
      </c>
      <c r="I744" s="15" t="s">
        <v>763</v>
      </c>
      <c r="J744" s="15">
        <v>742</v>
      </c>
      <c r="K744" s="4">
        <v>-2.5409519999999999</v>
      </c>
      <c r="L744" s="4">
        <v>-0.23829600000000001</v>
      </c>
      <c r="M744" s="4">
        <v>0.39783600000000002</v>
      </c>
      <c r="N744" s="4">
        <v>-2.1538189999999999</v>
      </c>
      <c r="O744" s="4">
        <v>-0.32949499999999998</v>
      </c>
      <c r="P744" s="4">
        <v>1.402201</v>
      </c>
      <c r="Q744" s="4">
        <v>-1.4877990000000001</v>
      </c>
      <c r="R744" s="4">
        <v>-0.84246500000000002</v>
      </c>
      <c r="S744" s="4">
        <v>-1.0386899999999999</v>
      </c>
      <c r="T744" s="4">
        <v>-2.247131</v>
      </c>
    </row>
    <row r="745" spans="1:20" ht="18">
      <c r="A745" s="2">
        <f t="shared" si="107"/>
        <v>744</v>
      </c>
      <c r="B745" s="7" t="s">
        <v>965</v>
      </c>
      <c r="I745" s="15" t="s">
        <v>764</v>
      </c>
      <c r="J745" s="15">
        <v>743</v>
      </c>
      <c r="K745" s="4">
        <v>-0.92825400000000002</v>
      </c>
      <c r="L745" s="4">
        <v>-0.73470299999999999</v>
      </c>
      <c r="M745" s="4">
        <v>1.423297</v>
      </c>
      <c r="N745" s="4">
        <v>0.67747800000000002</v>
      </c>
      <c r="O745" s="4">
        <v>0.69922899999999999</v>
      </c>
      <c r="P745" s="4">
        <v>0.320075</v>
      </c>
      <c r="Q745" s="4">
        <v>0.40989100000000001</v>
      </c>
      <c r="R745" s="4">
        <v>-1.1819599999999999</v>
      </c>
      <c r="S745" s="4">
        <v>2.3262589999999999</v>
      </c>
      <c r="T745" s="4">
        <v>8.7315000000000004E-2</v>
      </c>
    </row>
    <row r="746" spans="1:20" ht="18">
      <c r="A746" s="2">
        <f t="shared" si="107"/>
        <v>745</v>
      </c>
      <c r="B746" s="7" t="s">
        <v>966</v>
      </c>
      <c r="I746" s="15" t="s">
        <v>765</v>
      </c>
      <c r="J746" s="15">
        <v>744</v>
      </c>
      <c r="K746" s="4">
        <v>-0.79086400000000001</v>
      </c>
      <c r="L746" s="4">
        <v>0.85864300000000005</v>
      </c>
      <c r="M746" s="4">
        <v>0.264683</v>
      </c>
      <c r="N746" s="4">
        <v>-0.87306499999999998</v>
      </c>
      <c r="O746" s="4">
        <v>1.6528999999999999E-2</v>
      </c>
      <c r="P746" s="4">
        <v>-0.83229299999999995</v>
      </c>
      <c r="Q746" s="4">
        <v>4.895E-3</v>
      </c>
      <c r="R746" s="4">
        <v>0.79310099999999994</v>
      </c>
      <c r="S746" s="4">
        <v>0.21556500000000001</v>
      </c>
      <c r="T746" s="4">
        <v>-9.9933999999999995E-2</v>
      </c>
    </row>
    <row r="747" spans="1:20" ht="18">
      <c r="A747" s="2">
        <f t="shared" si="107"/>
        <v>746</v>
      </c>
      <c r="B747" s="7" t="s">
        <v>967</v>
      </c>
      <c r="I747" s="15" t="s">
        <v>766</v>
      </c>
      <c r="J747" s="15">
        <v>745</v>
      </c>
      <c r="K747" s="4">
        <v>-0.31087199999999998</v>
      </c>
      <c r="L747" s="4">
        <v>0.49247299999999999</v>
      </c>
      <c r="M747" s="4">
        <v>0.19300300000000001</v>
      </c>
      <c r="N747" s="4">
        <v>3.6121E-2</v>
      </c>
      <c r="O747" s="4">
        <v>0.62827299999999997</v>
      </c>
      <c r="P747" s="4">
        <v>-0.39939799999999998</v>
      </c>
      <c r="Q747" s="4">
        <v>-1.82839</v>
      </c>
      <c r="R747" s="4">
        <v>-1.0014369999999999</v>
      </c>
      <c r="S747" s="4">
        <v>-0.54707700000000004</v>
      </c>
      <c r="T747" s="4">
        <v>-5.8659000000000003E-2</v>
      </c>
    </row>
    <row r="748" spans="1:20" ht="18">
      <c r="A748" s="2">
        <f t="shared" si="107"/>
        <v>747</v>
      </c>
      <c r="B748" s="7" t="s">
        <v>968</v>
      </c>
      <c r="I748" s="15" t="s">
        <v>767</v>
      </c>
      <c r="J748" s="15">
        <v>746</v>
      </c>
      <c r="K748" s="4">
        <v>-0.96274700000000002</v>
      </c>
      <c r="L748" s="4">
        <v>-0.51932699999999998</v>
      </c>
      <c r="M748" s="4">
        <v>-0.95406899999999994</v>
      </c>
      <c r="N748" s="4">
        <v>-1.4903519999999999</v>
      </c>
      <c r="O748" s="4">
        <v>0.64204600000000001</v>
      </c>
      <c r="P748" s="4">
        <v>-1.026761</v>
      </c>
      <c r="Q748" s="4">
        <v>-0.288937</v>
      </c>
      <c r="R748" s="4">
        <v>0.343912</v>
      </c>
      <c r="S748" s="4">
        <v>-0.78558600000000001</v>
      </c>
      <c r="T748" s="4">
        <v>-0.99038800000000005</v>
      </c>
    </row>
    <row r="749" spans="1:20" ht="18">
      <c r="A749" s="2">
        <f t="shared" si="107"/>
        <v>748</v>
      </c>
      <c r="B749" s="7" t="s">
        <v>969</v>
      </c>
      <c r="I749" s="15" t="s">
        <v>768</v>
      </c>
      <c r="J749" s="15">
        <v>747</v>
      </c>
      <c r="K749" s="4">
        <v>0.19134100000000001</v>
      </c>
      <c r="L749" s="4">
        <v>-1.0518529999999999</v>
      </c>
      <c r="M749" s="4">
        <v>0.36938599999999999</v>
      </c>
      <c r="N749" s="4">
        <v>-0.58934699999999995</v>
      </c>
      <c r="O749" s="4">
        <v>-0.95540899999999995</v>
      </c>
      <c r="P749" s="4">
        <v>0.56398800000000004</v>
      </c>
      <c r="Q749" s="4">
        <v>-0.470246</v>
      </c>
      <c r="R749" s="4">
        <v>2.2977999999999998E-2</v>
      </c>
      <c r="S749" s="4">
        <v>1.7639469999999999</v>
      </c>
      <c r="T749" s="4">
        <v>-0.120735</v>
      </c>
    </row>
    <row r="750" spans="1:20" ht="18">
      <c r="A750" s="2">
        <f t="shared" si="107"/>
        <v>749</v>
      </c>
      <c r="B750" s="7" t="s">
        <v>970</v>
      </c>
      <c r="I750" s="15" t="s">
        <v>769</v>
      </c>
      <c r="J750" s="15">
        <v>748</v>
      </c>
      <c r="K750" s="4">
        <v>1.5369919999999999</v>
      </c>
      <c r="L750" s="4">
        <v>-1.2784E-2</v>
      </c>
      <c r="M750" s="4">
        <v>-0.22242899999999999</v>
      </c>
      <c r="N750" s="4">
        <v>1.272203</v>
      </c>
      <c r="O750" s="4">
        <v>0.233627</v>
      </c>
      <c r="P750" s="4">
        <v>0.38095499999999999</v>
      </c>
      <c r="Q750" s="4">
        <v>1.9100429999999999</v>
      </c>
      <c r="R750" s="4">
        <v>-1.437279</v>
      </c>
      <c r="S750" s="4">
        <v>-0.10181</v>
      </c>
      <c r="T750" s="4">
        <v>-1.7923389999999999</v>
      </c>
    </row>
    <row r="751" spans="1:20" ht="18">
      <c r="A751" s="2">
        <f t="shared" si="107"/>
        <v>750</v>
      </c>
      <c r="B751" s="7" t="s">
        <v>971</v>
      </c>
      <c r="I751" s="15" t="s">
        <v>770</v>
      </c>
      <c r="J751" s="15">
        <v>749</v>
      </c>
      <c r="K751" s="4">
        <v>-0.38479799999999997</v>
      </c>
      <c r="L751" s="4">
        <v>-0.72475299999999998</v>
      </c>
      <c r="M751" s="4">
        <v>2.194191</v>
      </c>
      <c r="N751" s="4">
        <v>0.53139899999999995</v>
      </c>
      <c r="O751" s="4">
        <v>0.53510500000000005</v>
      </c>
      <c r="P751" s="4">
        <v>0.21817800000000001</v>
      </c>
      <c r="Q751" s="4">
        <v>-0.399285</v>
      </c>
      <c r="R751" s="4">
        <v>-0.97627200000000003</v>
      </c>
      <c r="S751" s="4">
        <v>0.55247000000000002</v>
      </c>
      <c r="T751" s="4">
        <v>-1.492926</v>
      </c>
    </row>
    <row r="752" spans="1:20" ht="18">
      <c r="A752" s="2">
        <f t="shared" si="107"/>
        <v>751</v>
      </c>
      <c r="B752" s="7" t="s">
        <v>972</v>
      </c>
      <c r="I752" s="15" t="s">
        <v>771</v>
      </c>
      <c r="J752" s="15">
        <v>750</v>
      </c>
      <c r="K752" s="4">
        <v>0.38176599999999999</v>
      </c>
      <c r="L752" s="4">
        <v>-0.21571199999999999</v>
      </c>
      <c r="M752" s="4">
        <v>1.074616</v>
      </c>
      <c r="N752" s="4">
        <v>1.0998889999999999</v>
      </c>
      <c r="O752" s="4">
        <v>0.55593999999999999</v>
      </c>
      <c r="P752" s="4">
        <v>-0.48202400000000001</v>
      </c>
      <c r="Q752" s="4">
        <v>1.3484149999999999</v>
      </c>
      <c r="R752" s="4">
        <v>-1.6269009999999999</v>
      </c>
      <c r="S752" s="4">
        <v>-0.62131199999999998</v>
      </c>
      <c r="T752" s="4">
        <v>0.813836</v>
      </c>
    </row>
    <row r="753" spans="1:20" ht="18">
      <c r="A753" s="2">
        <f t="shared" si="107"/>
        <v>752</v>
      </c>
      <c r="B753" s="7" t="s">
        <v>973</v>
      </c>
      <c r="I753" s="15" t="s">
        <v>772</v>
      </c>
      <c r="J753" s="15">
        <v>751</v>
      </c>
      <c r="K753" s="4">
        <v>1.7747120000000001</v>
      </c>
      <c r="L753" s="4">
        <v>-0.82003999999999999</v>
      </c>
      <c r="M753" s="4">
        <v>0.31898900000000002</v>
      </c>
      <c r="N753" s="4">
        <v>1.0796600000000001</v>
      </c>
      <c r="O753" s="4">
        <v>-0.14694699999999999</v>
      </c>
      <c r="P753" s="4">
        <v>-1.0115879999999999</v>
      </c>
      <c r="Q753" s="4">
        <v>0.96939900000000001</v>
      </c>
      <c r="R753" s="4">
        <v>0.57547999999999999</v>
      </c>
      <c r="S753" s="4">
        <v>0.81830499999999995</v>
      </c>
      <c r="T753" s="4">
        <v>0.155028</v>
      </c>
    </row>
    <row r="754" spans="1:20" ht="18">
      <c r="A754" s="2">
        <f t="shared" si="107"/>
        <v>753</v>
      </c>
      <c r="B754" s="7" t="s">
        <v>974</v>
      </c>
      <c r="I754" s="15" t="s">
        <v>773</v>
      </c>
      <c r="J754" s="15">
        <v>752</v>
      </c>
      <c r="K754" s="4">
        <v>-1.3403769999999999</v>
      </c>
      <c r="L754" s="4">
        <v>1.6100000000000001E-4</v>
      </c>
      <c r="M754" s="4">
        <v>0.57017300000000004</v>
      </c>
      <c r="N754" s="4">
        <v>-1.2018070000000001</v>
      </c>
      <c r="O754" s="4">
        <v>1.6646300000000001</v>
      </c>
      <c r="P754" s="4">
        <v>-1.048702</v>
      </c>
      <c r="Q754" s="4">
        <v>-0.13702500000000001</v>
      </c>
      <c r="R754" s="4">
        <v>1.014786</v>
      </c>
      <c r="S754" s="4">
        <v>2.2799520000000002</v>
      </c>
      <c r="T754" s="4">
        <v>-1.0858410000000001</v>
      </c>
    </row>
    <row r="755" spans="1:20" ht="18">
      <c r="A755" s="2">
        <f t="shared" si="107"/>
        <v>754</v>
      </c>
      <c r="B755" s="7" t="s">
        <v>975</v>
      </c>
      <c r="I755" s="15" t="s">
        <v>774</v>
      </c>
      <c r="J755" s="15">
        <v>753</v>
      </c>
      <c r="K755" s="4">
        <v>-1.7666820000000001</v>
      </c>
      <c r="L755" s="4">
        <v>0.75736599999999998</v>
      </c>
      <c r="M755" s="4">
        <v>7.5627E-2</v>
      </c>
      <c r="N755" s="4">
        <v>-1.250885</v>
      </c>
      <c r="O755" s="4">
        <v>0.389982</v>
      </c>
      <c r="P755" s="4">
        <v>0.17568</v>
      </c>
      <c r="Q755" s="4">
        <v>1.5250589999999999</v>
      </c>
      <c r="R755" s="4">
        <v>-2.1151300000000002</v>
      </c>
      <c r="S755" s="4">
        <v>2.7597860000000001</v>
      </c>
      <c r="T755" s="4">
        <v>0.65400199999999997</v>
      </c>
    </row>
    <row r="756" spans="1:20" ht="18">
      <c r="A756" s="2">
        <f t="shared" si="107"/>
        <v>755</v>
      </c>
      <c r="B756" s="7" t="s">
        <v>976</v>
      </c>
      <c r="I756" s="15" t="s">
        <v>775</v>
      </c>
      <c r="J756" s="15">
        <v>754</v>
      </c>
      <c r="K756" s="4">
        <v>-0.49380299999999999</v>
      </c>
      <c r="L756" s="4">
        <v>0.39676800000000001</v>
      </c>
      <c r="M756" s="4">
        <v>0.86696300000000004</v>
      </c>
      <c r="N756" s="4">
        <v>6.0818999999999998E-2</v>
      </c>
      <c r="O756" s="4">
        <v>1.0728530000000001</v>
      </c>
      <c r="P756" s="4">
        <v>-1.253131</v>
      </c>
      <c r="Q756" s="4">
        <v>-2.1337769999999998</v>
      </c>
      <c r="R756" s="4">
        <v>2.1263489999999998</v>
      </c>
      <c r="S756" s="4">
        <v>0.30991099999999999</v>
      </c>
      <c r="T756" s="4">
        <v>-0.109525</v>
      </c>
    </row>
    <row r="757" spans="1:20" ht="18">
      <c r="A757" s="2">
        <f t="shared" si="107"/>
        <v>756</v>
      </c>
      <c r="B757" s="7" t="s">
        <v>977</v>
      </c>
      <c r="I757" s="15" t="s">
        <v>776</v>
      </c>
      <c r="J757" s="15">
        <v>755</v>
      </c>
      <c r="K757" s="4">
        <v>1.26962</v>
      </c>
      <c r="L757" s="4">
        <v>-1.481846</v>
      </c>
      <c r="M757" s="4">
        <v>-8.3428000000000002E-2</v>
      </c>
      <c r="N757" s="4">
        <v>-0.172485</v>
      </c>
      <c r="O757" s="4">
        <v>0.50716300000000003</v>
      </c>
      <c r="P757" s="4">
        <v>-0.681006</v>
      </c>
      <c r="Q757" s="4">
        <v>-0.67945100000000003</v>
      </c>
      <c r="R757" s="4">
        <v>-1.900612</v>
      </c>
      <c r="S757" s="4">
        <v>0.118824</v>
      </c>
      <c r="T757" s="4">
        <v>0.24978900000000001</v>
      </c>
    </row>
    <row r="758" spans="1:20" ht="18">
      <c r="A758" s="2">
        <f t="shared" si="107"/>
        <v>757</v>
      </c>
      <c r="B758" s="7" t="s">
        <v>978</v>
      </c>
      <c r="I758" s="15" t="s">
        <v>777</v>
      </c>
      <c r="J758" s="15">
        <v>756</v>
      </c>
      <c r="K758" s="4">
        <v>0.31178899999999998</v>
      </c>
      <c r="L758" s="4">
        <v>0.239727</v>
      </c>
      <c r="M758" s="4">
        <v>0.54350799999999999</v>
      </c>
      <c r="N758" s="4">
        <v>-4.9646000000000003E-2</v>
      </c>
      <c r="O758" s="4">
        <v>-0.34497</v>
      </c>
      <c r="P758" s="4">
        <v>1.5202640000000001</v>
      </c>
      <c r="Q758" s="4">
        <v>2.436445</v>
      </c>
      <c r="R758" s="4">
        <v>-0.88616799999999996</v>
      </c>
      <c r="S758" s="4">
        <v>0.20825399999999999</v>
      </c>
      <c r="T758" s="4">
        <v>1.159764</v>
      </c>
    </row>
    <row r="759" spans="1:20" ht="18">
      <c r="A759" s="2">
        <f t="shared" si="107"/>
        <v>758</v>
      </c>
      <c r="B759" s="7" t="s">
        <v>979</v>
      </c>
      <c r="I759" s="15" t="s">
        <v>778</v>
      </c>
      <c r="J759" s="15">
        <v>757</v>
      </c>
      <c r="K759" s="4">
        <v>-0.24060300000000001</v>
      </c>
      <c r="L759" s="4">
        <v>-1.082104</v>
      </c>
      <c r="M759" s="4">
        <v>-0.92225100000000004</v>
      </c>
      <c r="N759" s="4">
        <v>-2.1093649999999999</v>
      </c>
      <c r="O759" s="4">
        <v>0.99949299999999996</v>
      </c>
      <c r="P759" s="4">
        <v>-1.4673700000000001</v>
      </c>
      <c r="Q759" s="4">
        <v>-0.24018</v>
      </c>
      <c r="R759" s="4">
        <v>0.12346699999999999</v>
      </c>
      <c r="S759" s="4">
        <v>-0.215813</v>
      </c>
      <c r="T759" s="4">
        <v>-1.561196</v>
      </c>
    </row>
    <row r="760" spans="1:20" ht="18">
      <c r="A760" s="2">
        <f t="shared" si="107"/>
        <v>759</v>
      </c>
      <c r="B760" s="7" t="s">
        <v>980</v>
      </c>
      <c r="I760" s="15" t="s">
        <v>779</v>
      </c>
      <c r="J760" s="15">
        <v>758</v>
      </c>
      <c r="K760" s="4">
        <v>-0.56499600000000005</v>
      </c>
      <c r="L760" s="4">
        <v>0.331177</v>
      </c>
      <c r="M760" s="4">
        <v>1.5236609999999999</v>
      </c>
      <c r="N760" s="4">
        <v>-0.54710599999999998</v>
      </c>
      <c r="O760" s="4">
        <v>-0.28201799999999999</v>
      </c>
      <c r="P760" s="4">
        <v>-0.50087199999999998</v>
      </c>
      <c r="Q760" s="4">
        <v>-0.69135100000000005</v>
      </c>
      <c r="R760" s="4">
        <v>0.72651299999999996</v>
      </c>
      <c r="S760" s="4">
        <v>0.99060099999999995</v>
      </c>
      <c r="T760" s="4">
        <v>2.1935560000000001</v>
      </c>
    </row>
    <row r="761" spans="1:20" ht="18">
      <c r="A761" s="2">
        <f t="shared" si="107"/>
        <v>760</v>
      </c>
      <c r="B761" s="7" t="s">
        <v>981</v>
      </c>
      <c r="I761" s="15" t="s">
        <v>780</v>
      </c>
      <c r="J761" s="15">
        <v>759</v>
      </c>
      <c r="K761" s="4">
        <v>-1.5564819999999999</v>
      </c>
      <c r="L761" s="4">
        <v>0.461534</v>
      </c>
      <c r="M761" s="4">
        <v>-1.2879370000000001</v>
      </c>
      <c r="N761" s="4">
        <v>-1.06094</v>
      </c>
      <c r="O761" s="4">
        <v>0.21235299999999999</v>
      </c>
      <c r="P761" s="4">
        <v>-0.64778599999999997</v>
      </c>
      <c r="Q761" s="4">
        <v>0.67918699999999999</v>
      </c>
      <c r="R761" s="4">
        <v>-0.60243100000000005</v>
      </c>
      <c r="S761" s="4">
        <v>0.53164999999999996</v>
      </c>
      <c r="T761" s="4">
        <v>-1.3121640000000001</v>
      </c>
    </row>
    <row r="762" spans="1:20" ht="18">
      <c r="A762" s="2">
        <f t="shared" si="107"/>
        <v>761</v>
      </c>
      <c r="B762" s="7" t="s">
        <v>982</v>
      </c>
      <c r="I762" s="15" t="s">
        <v>781</v>
      </c>
      <c r="J762" s="15">
        <v>760</v>
      </c>
      <c r="K762" s="4">
        <v>-0.34256199999999998</v>
      </c>
      <c r="L762" s="4">
        <v>5.7290000000000001E-2</v>
      </c>
      <c r="M762" s="4">
        <v>-0.58656399999999997</v>
      </c>
      <c r="N762" s="4">
        <v>-0.131383</v>
      </c>
      <c r="O762" s="4">
        <v>-0.22004399999999999</v>
      </c>
      <c r="P762" s="4">
        <v>1.6349039999999999</v>
      </c>
      <c r="Q762" s="4">
        <v>0.27178200000000002</v>
      </c>
      <c r="R762" s="4">
        <v>-0.207258</v>
      </c>
      <c r="S762" s="4">
        <v>1.3363700000000001</v>
      </c>
      <c r="T762" s="4">
        <v>1.154037</v>
      </c>
    </row>
    <row r="763" spans="1:20" ht="18">
      <c r="A763" s="2">
        <f t="shared" si="107"/>
        <v>762</v>
      </c>
      <c r="B763" s="7" t="s">
        <v>983</v>
      </c>
      <c r="I763" s="15" t="s">
        <v>782</v>
      </c>
      <c r="J763" s="15">
        <v>761</v>
      </c>
      <c r="K763" s="4">
        <v>-6.7385E-2</v>
      </c>
      <c r="L763" s="4">
        <v>-0.64662299999999995</v>
      </c>
      <c r="M763" s="4">
        <v>1.048794</v>
      </c>
      <c r="N763" s="4">
        <v>-0.89646800000000004</v>
      </c>
      <c r="O763" s="4">
        <v>0.343588</v>
      </c>
      <c r="P763" s="4">
        <v>0.33214100000000002</v>
      </c>
      <c r="Q763" s="4">
        <v>-1.336579</v>
      </c>
      <c r="R763" s="4">
        <v>-0.34182600000000002</v>
      </c>
      <c r="S763" s="4">
        <v>0.59212200000000004</v>
      </c>
      <c r="T763" s="4">
        <v>-1.306964</v>
      </c>
    </row>
    <row r="764" spans="1:20" ht="18">
      <c r="A764" s="2">
        <f t="shared" si="107"/>
        <v>763</v>
      </c>
      <c r="B764" s="7" t="s">
        <v>984</v>
      </c>
      <c r="I764" s="15" t="s">
        <v>783</v>
      </c>
      <c r="J764" s="15">
        <v>762</v>
      </c>
      <c r="K764" s="4">
        <v>1.0693520000000001</v>
      </c>
      <c r="L764" s="4">
        <v>-0.13190399999999999</v>
      </c>
      <c r="M764" s="4">
        <v>-0.99116400000000004</v>
      </c>
      <c r="N764" s="4">
        <v>0.74987300000000001</v>
      </c>
      <c r="O764" s="4">
        <v>-0.48886200000000002</v>
      </c>
      <c r="P764" s="4">
        <v>0.42624099999999998</v>
      </c>
      <c r="Q764" s="4">
        <v>0.72126900000000005</v>
      </c>
      <c r="R764" s="4">
        <v>1.935419</v>
      </c>
      <c r="S764" s="4">
        <v>-0.50183800000000001</v>
      </c>
      <c r="T764" s="4">
        <v>1.177462</v>
      </c>
    </row>
    <row r="765" spans="1:20" ht="18">
      <c r="A765" s="2">
        <f t="shared" si="107"/>
        <v>764</v>
      </c>
      <c r="B765" s="7" t="s">
        <v>985</v>
      </c>
      <c r="I765" s="15" t="s">
        <v>784</v>
      </c>
      <c r="J765" s="15">
        <v>763</v>
      </c>
      <c r="K765" s="4">
        <v>0.44806200000000002</v>
      </c>
      <c r="L765" s="4">
        <v>-6.4356999999999998E-2</v>
      </c>
      <c r="M765" s="4">
        <v>1.613836</v>
      </c>
      <c r="N765" s="4">
        <v>-0.39804499999999998</v>
      </c>
      <c r="O765" s="4">
        <v>-5.8467999999999999E-2</v>
      </c>
      <c r="P765" s="4">
        <v>1.5329000000000001E-2</v>
      </c>
      <c r="Q765" s="4">
        <v>0.46212300000000001</v>
      </c>
      <c r="R765" s="4">
        <v>-1.12022</v>
      </c>
      <c r="S765" s="4">
        <v>-8.7179000000000006E-2</v>
      </c>
      <c r="T765" s="4">
        <v>-0.44</v>
      </c>
    </row>
    <row r="766" spans="1:20" ht="18">
      <c r="A766" s="2">
        <f t="shared" si="107"/>
        <v>765</v>
      </c>
      <c r="B766" s="7" t="s">
        <v>986</v>
      </c>
      <c r="I766" s="15" t="s">
        <v>785</v>
      </c>
      <c r="J766" s="15">
        <v>764</v>
      </c>
      <c r="K766" s="4">
        <v>-1.3430310000000001</v>
      </c>
      <c r="L766" s="4">
        <v>1.281317</v>
      </c>
      <c r="M766" s="4">
        <v>1.0848999999999999E-2</v>
      </c>
      <c r="N766" s="4">
        <v>1.077548</v>
      </c>
      <c r="O766" s="4">
        <v>0.67098100000000005</v>
      </c>
      <c r="P766" s="4">
        <v>-7.7775999999999998E-2</v>
      </c>
      <c r="Q766" s="4">
        <v>0.74294300000000002</v>
      </c>
      <c r="R766" s="4">
        <v>0.37432799999999999</v>
      </c>
      <c r="S766" s="4">
        <v>-1.854204</v>
      </c>
      <c r="T766" s="4">
        <v>0.37552799999999997</v>
      </c>
    </row>
    <row r="767" spans="1:20" ht="18">
      <c r="A767" s="2">
        <f t="shared" si="107"/>
        <v>766</v>
      </c>
      <c r="B767" s="7" t="s">
        <v>987</v>
      </c>
      <c r="I767" s="15" t="s">
        <v>786</v>
      </c>
      <c r="J767" s="15">
        <v>765</v>
      </c>
      <c r="K767" s="4">
        <v>0.58188799999999996</v>
      </c>
      <c r="L767" s="4">
        <v>-0.16394</v>
      </c>
      <c r="M767" s="4">
        <v>0.824268</v>
      </c>
      <c r="N767" s="4">
        <v>-1.3887160000000001</v>
      </c>
      <c r="O767" s="4">
        <v>-0.15973599999999999</v>
      </c>
      <c r="P767" s="4">
        <v>-1.087626</v>
      </c>
      <c r="Q767" s="4">
        <v>-1.315612</v>
      </c>
      <c r="R767" s="4">
        <v>-0.409883</v>
      </c>
      <c r="S767" s="4">
        <v>0.14571799999999999</v>
      </c>
      <c r="T767" s="4">
        <v>-0.196994</v>
      </c>
    </row>
    <row r="768" spans="1:20" ht="18">
      <c r="A768" s="2">
        <f t="shared" si="107"/>
        <v>767</v>
      </c>
      <c r="B768" s="7" t="s">
        <v>988</v>
      </c>
      <c r="I768" s="15" t="s">
        <v>787</v>
      </c>
      <c r="J768" s="15">
        <v>766</v>
      </c>
      <c r="K768" s="4">
        <v>-0.594445</v>
      </c>
      <c r="L768" s="4">
        <v>0.86609400000000003</v>
      </c>
      <c r="M768" s="4">
        <v>-0.30949700000000002</v>
      </c>
      <c r="N768" s="4">
        <v>1.5774280000000001</v>
      </c>
      <c r="O768" s="4">
        <v>-1.721006</v>
      </c>
      <c r="P768" s="4">
        <v>-0.33847500000000003</v>
      </c>
      <c r="Q768" s="4">
        <v>-0.649003</v>
      </c>
      <c r="R768" s="4">
        <v>2.2298999999999999E-2</v>
      </c>
      <c r="S768" s="4">
        <v>1.6584890000000001</v>
      </c>
      <c r="T768" s="4">
        <v>-0.79261599999999999</v>
      </c>
    </row>
    <row r="769" spans="1:20" ht="18">
      <c r="A769" s="2">
        <f t="shared" si="107"/>
        <v>768</v>
      </c>
      <c r="B769" s="7" t="s">
        <v>989</v>
      </c>
      <c r="I769" s="15" t="s">
        <v>788</v>
      </c>
      <c r="J769" s="15">
        <v>767</v>
      </c>
      <c r="K769" s="4">
        <v>1.391329</v>
      </c>
      <c r="L769" s="4">
        <v>1.2260770000000001</v>
      </c>
      <c r="M769" s="4">
        <v>-0.43592700000000001</v>
      </c>
      <c r="N769" s="4">
        <v>-0.90856800000000004</v>
      </c>
      <c r="O769" s="4">
        <v>-0.185475</v>
      </c>
      <c r="P769" s="4">
        <v>0.14243600000000001</v>
      </c>
      <c r="Q769" s="4">
        <v>0.71636100000000003</v>
      </c>
      <c r="R769" s="4">
        <v>-0.61176699999999995</v>
      </c>
      <c r="S769" s="4">
        <v>-1.4880500000000001</v>
      </c>
      <c r="T769" s="4">
        <v>3.533E-2</v>
      </c>
    </row>
    <row r="770" spans="1:20" ht="18">
      <c r="A770" s="2">
        <f t="shared" si="107"/>
        <v>769</v>
      </c>
      <c r="B770" s="7" t="s">
        <v>990</v>
      </c>
      <c r="I770" s="15" t="s">
        <v>789</v>
      </c>
      <c r="J770" s="15">
        <v>768</v>
      </c>
      <c r="K770" s="4">
        <v>0.12770500000000001</v>
      </c>
      <c r="L770" s="4">
        <v>-0.292601</v>
      </c>
      <c r="M770" s="4">
        <v>0.89922299999999999</v>
      </c>
      <c r="N770" s="4">
        <v>0.42500700000000002</v>
      </c>
      <c r="O770" s="4">
        <v>0.34298099999999998</v>
      </c>
      <c r="P770" s="4">
        <v>-0.29707899999999998</v>
      </c>
      <c r="Q770" s="4">
        <v>-0.93429300000000004</v>
      </c>
      <c r="R770" s="4">
        <v>0.26896999999999999</v>
      </c>
      <c r="S770" s="4">
        <v>0.12892999999999999</v>
      </c>
      <c r="T770" s="4">
        <v>-4.4596999999999998E-2</v>
      </c>
    </row>
    <row r="771" spans="1:20" ht="18">
      <c r="A771" s="2">
        <f t="shared" ref="A771:A834" si="108">ROW()-1</f>
        <v>770</v>
      </c>
      <c r="B771" s="7" t="s">
        <v>991</v>
      </c>
      <c r="I771" s="15" t="s">
        <v>790</v>
      </c>
      <c r="J771" s="15">
        <v>769</v>
      </c>
      <c r="K771" s="4">
        <v>0.44112499999999999</v>
      </c>
      <c r="L771" s="4">
        <v>1.273407</v>
      </c>
      <c r="M771" s="4">
        <v>9.6584000000000003E-2</v>
      </c>
      <c r="N771" s="4">
        <v>0.42841099999999999</v>
      </c>
      <c r="O771" s="4">
        <v>0.15256600000000001</v>
      </c>
      <c r="P771" s="4">
        <v>-0.23428499999999999</v>
      </c>
      <c r="Q771" s="4">
        <v>-1.208725</v>
      </c>
      <c r="R771" s="4">
        <v>0.329708</v>
      </c>
      <c r="S771" s="4">
        <v>-0.64516799999999996</v>
      </c>
      <c r="T771" s="4">
        <v>-0.41914699999999999</v>
      </c>
    </row>
    <row r="772" spans="1:20" ht="18">
      <c r="A772" s="2">
        <f t="shared" si="108"/>
        <v>771</v>
      </c>
      <c r="B772" s="7" t="s">
        <v>992</v>
      </c>
      <c r="I772" s="15" t="s">
        <v>791</v>
      </c>
      <c r="J772" s="15">
        <v>770</v>
      </c>
      <c r="K772" s="4">
        <v>-0.31956200000000001</v>
      </c>
      <c r="L772" s="4">
        <v>-0.27110200000000001</v>
      </c>
      <c r="M772" s="4">
        <v>0.52468300000000001</v>
      </c>
      <c r="N772" s="4">
        <v>0.26568999999999998</v>
      </c>
      <c r="O772" s="4">
        <v>1.610147</v>
      </c>
      <c r="P772" s="4">
        <v>1.0169809999999999</v>
      </c>
      <c r="Q772" s="4">
        <v>-0.76015500000000003</v>
      </c>
      <c r="R772" s="4">
        <v>-0.68607899999999999</v>
      </c>
      <c r="S772" s="4">
        <v>-1.9756130000000001</v>
      </c>
      <c r="T772" s="4">
        <v>-1.594897</v>
      </c>
    </row>
    <row r="773" spans="1:20" ht="18">
      <c r="A773" s="2">
        <f t="shared" si="108"/>
        <v>772</v>
      </c>
      <c r="B773" s="7" t="s">
        <v>993</v>
      </c>
      <c r="I773" s="15" t="s">
        <v>792</v>
      </c>
      <c r="J773" s="15">
        <v>771</v>
      </c>
      <c r="K773" s="4">
        <v>1.487803</v>
      </c>
      <c r="L773" s="4">
        <v>2.5984970000000001</v>
      </c>
      <c r="M773" s="4">
        <v>0.47903000000000001</v>
      </c>
      <c r="N773" s="4">
        <v>0.20011399999999999</v>
      </c>
      <c r="O773" s="4">
        <v>-0.96818000000000004</v>
      </c>
      <c r="P773" s="4">
        <v>-0.32017600000000002</v>
      </c>
      <c r="Q773" s="4">
        <v>0.29034700000000002</v>
      </c>
      <c r="R773" s="4">
        <v>-0.93639700000000003</v>
      </c>
      <c r="S773" s="4">
        <v>0.203261</v>
      </c>
      <c r="T773" s="4">
        <v>0.28202199999999999</v>
      </c>
    </row>
    <row r="774" spans="1:20" ht="18">
      <c r="A774" s="2">
        <f t="shared" si="108"/>
        <v>773</v>
      </c>
      <c r="B774" s="7" t="s">
        <v>994</v>
      </c>
      <c r="I774" s="15" t="s">
        <v>793</v>
      </c>
      <c r="J774" s="15">
        <v>772</v>
      </c>
      <c r="K774" s="4">
        <v>-3.0998999999999999E-2</v>
      </c>
      <c r="L774" s="4">
        <v>1.301587</v>
      </c>
      <c r="M774" s="4">
        <v>-1.321221</v>
      </c>
      <c r="N774" s="4">
        <v>-0.59951100000000002</v>
      </c>
      <c r="O774" s="4">
        <v>-0.50170099999999995</v>
      </c>
      <c r="P774" s="4">
        <v>0.79683499999999996</v>
      </c>
      <c r="Q774" s="4">
        <v>-8.0450000000000001E-3</v>
      </c>
      <c r="R774" s="4">
        <v>-0.36089900000000003</v>
      </c>
      <c r="S774" s="4">
        <v>-0.51951400000000003</v>
      </c>
      <c r="T774" s="4">
        <v>-0.24212400000000001</v>
      </c>
    </row>
    <row r="775" spans="1:20" ht="18">
      <c r="A775" s="2">
        <f t="shared" si="108"/>
        <v>774</v>
      </c>
      <c r="B775" s="7" t="s">
        <v>995</v>
      </c>
      <c r="I775" s="15" t="s">
        <v>794</v>
      </c>
      <c r="J775" s="15">
        <v>773</v>
      </c>
      <c r="K775" s="4">
        <v>0.74874200000000002</v>
      </c>
      <c r="L775" s="4">
        <v>0.75817199999999996</v>
      </c>
      <c r="M775" s="4">
        <v>-0.575963</v>
      </c>
      <c r="N775" s="4">
        <v>-0.72450899999999996</v>
      </c>
      <c r="O775" s="4">
        <v>-0.34359499999999998</v>
      </c>
      <c r="P775" s="4">
        <v>-0.18007000000000001</v>
      </c>
      <c r="Q775" s="4">
        <v>-0.529447</v>
      </c>
      <c r="R775" s="4">
        <v>0.221056</v>
      </c>
      <c r="S775" s="4">
        <v>9.9016999999999994E-2</v>
      </c>
      <c r="T775" s="4">
        <v>0.87324599999999997</v>
      </c>
    </row>
    <row r="776" spans="1:20" ht="18">
      <c r="A776" s="2">
        <f t="shared" si="108"/>
        <v>775</v>
      </c>
      <c r="B776" s="7" t="s">
        <v>996</v>
      </c>
      <c r="I776" s="15" t="s">
        <v>795</v>
      </c>
      <c r="J776" s="15">
        <v>774</v>
      </c>
      <c r="K776" s="4">
        <v>0.31908500000000001</v>
      </c>
      <c r="L776" s="4">
        <v>4.1443000000000001E-2</v>
      </c>
      <c r="M776" s="4">
        <v>-1.5295510000000001</v>
      </c>
      <c r="N776" s="4">
        <v>-6.411E-2</v>
      </c>
      <c r="O776" s="4">
        <v>1.1205339999999999</v>
      </c>
      <c r="P776" s="4">
        <v>-0.34031499999999998</v>
      </c>
      <c r="Q776" s="4">
        <v>-0.34304899999999999</v>
      </c>
      <c r="R776" s="4">
        <v>-1.1187769999999999</v>
      </c>
      <c r="S776" s="4">
        <v>-0.75580400000000003</v>
      </c>
      <c r="T776" s="4">
        <v>-0.44491599999999998</v>
      </c>
    </row>
    <row r="777" spans="1:20" ht="18">
      <c r="A777" s="2">
        <f t="shared" si="108"/>
        <v>776</v>
      </c>
      <c r="B777" s="7" t="s">
        <v>997</v>
      </c>
      <c r="I777" s="15" t="s">
        <v>796</v>
      </c>
      <c r="J777" s="15">
        <v>775</v>
      </c>
      <c r="K777" s="4">
        <v>0.486794</v>
      </c>
      <c r="L777" s="4">
        <v>2.1601940000000002</v>
      </c>
      <c r="M777" s="4">
        <v>7.2218000000000004E-2</v>
      </c>
      <c r="N777" s="4">
        <v>-0.244917</v>
      </c>
      <c r="O777" s="4">
        <v>-0.339785</v>
      </c>
      <c r="P777" s="4">
        <v>-5.1683E-2</v>
      </c>
      <c r="Q777" s="4">
        <v>2.5053540000000001</v>
      </c>
      <c r="R777" s="4">
        <v>-0.93462500000000004</v>
      </c>
      <c r="S777" s="4">
        <v>1.71723</v>
      </c>
      <c r="T777" s="4">
        <v>-0.29293999999999998</v>
      </c>
    </row>
    <row r="778" spans="1:20" ht="18">
      <c r="A778" s="2">
        <f t="shared" si="108"/>
        <v>777</v>
      </c>
      <c r="B778" s="7" t="s">
        <v>998</v>
      </c>
      <c r="I778" s="15" t="s">
        <v>797</v>
      </c>
      <c r="J778" s="15">
        <v>776</v>
      </c>
      <c r="K778" s="4">
        <v>0.37554300000000002</v>
      </c>
      <c r="L778" s="4">
        <v>1.002054</v>
      </c>
      <c r="M778" s="4">
        <v>-1.5296620000000001</v>
      </c>
      <c r="N778" s="4">
        <v>-9.7821000000000005E-2</v>
      </c>
      <c r="O778" s="4">
        <v>-0.72147799999999995</v>
      </c>
      <c r="P778" s="4">
        <v>0.78149100000000005</v>
      </c>
      <c r="Q778" s="4">
        <v>-2.1122740000000002</v>
      </c>
      <c r="R778" s="4">
        <v>1.468755</v>
      </c>
      <c r="S778" s="4">
        <v>-1.9042E-2</v>
      </c>
      <c r="T778" s="4">
        <v>4.1078000000000003E-2</v>
      </c>
    </row>
    <row r="779" spans="1:20" ht="18">
      <c r="A779" s="2">
        <f t="shared" si="108"/>
        <v>778</v>
      </c>
      <c r="B779" s="7" t="s">
        <v>999</v>
      </c>
      <c r="I779" s="15" t="s">
        <v>798</v>
      </c>
      <c r="J779" s="15">
        <v>777</v>
      </c>
      <c r="K779" s="4">
        <v>-0.19345999999999999</v>
      </c>
      <c r="L779" s="4">
        <v>-1.744297</v>
      </c>
      <c r="M779" s="4">
        <v>-2.2428279999999998</v>
      </c>
      <c r="N779" s="4">
        <v>-0.41919000000000001</v>
      </c>
      <c r="O779" s="4">
        <v>-0.78568899999999997</v>
      </c>
      <c r="P779" s="4">
        <v>-0.120227</v>
      </c>
      <c r="Q779" s="4">
        <v>-1.623615</v>
      </c>
      <c r="R779" s="4">
        <v>-0.593526</v>
      </c>
      <c r="S779" s="4">
        <v>-1.0523929999999999</v>
      </c>
      <c r="T779" s="4">
        <v>-0.483267</v>
      </c>
    </row>
    <row r="780" spans="1:20" ht="18">
      <c r="A780" s="2">
        <f t="shared" si="108"/>
        <v>779</v>
      </c>
      <c r="B780" s="7" t="s">
        <v>1000</v>
      </c>
      <c r="I780" s="15" t="s">
        <v>799</v>
      </c>
      <c r="J780" s="15">
        <v>778</v>
      </c>
      <c r="K780" s="4">
        <v>0.97710799999999998</v>
      </c>
      <c r="L780" s="4">
        <v>0.12703</v>
      </c>
      <c r="M780" s="4">
        <v>-0.392183</v>
      </c>
      <c r="N780" s="4">
        <v>-0.69726600000000005</v>
      </c>
      <c r="O780" s="4">
        <v>1.3395079999999999</v>
      </c>
      <c r="P780" s="4">
        <v>0.63744699999999999</v>
      </c>
      <c r="Q780" s="4">
        <v>-1.046265</v>
      </c>
      <c r="R780" s="4">
        <v>-0.35809800000000003</v>
      </c>
      <c r="S780" s="4">
        <v>-0.96430400000000005</v>
      </c>
      <c r="T780" s="4">
        <v>0.65519499999999997</v>
      </c>
    </row>
    <row r="781" spans="1:20" ht="18">
      <c r="A781" s="2">
        <f t="shared" si="108"/>
        <v>780</v>
      </c>
      <c r="B781" s="7" t="s">
        <v>1001</v>
      </c>
      <c r="I781" s="15" t="s">
        <v>800</v>
      </c>
      <c r="J781" s="15">
        <v>779</v>
      </c>
      <c r="K781" s="4">
        <v>0.67862199999999995</v>
      </c>
      <c r="L781" s="4">
        <v>-1.1442099999999999</v>
      </c>
      <c r="M781" s="4">
        <v>0.65297099999999997</v>
      </c>
      <c r="N781" s="4">
        <v>0.97935399999999995</v>
      </c>
      <c r="O781" s="4">
        <v>0.61899300000000002</v>
      </c>
      <c r="P781" s="4">
        <v>-5.6131E-2</v>
      </c>
      <c r="Q781" s="4">
        <v>-2.0017E-2</v>
      </c>
      <c r="R781" s="4">
        <v>-0.49168000000000001</v>
      </c>
      <c r="S781" s="4">
        <v>-1.6982299999999999</v>
      </c>
      <c r="T781" s="4">
        <v>0.22758800000000001</v>
      </c>
    </row>
    <row r="782" spans="1:20" ht="18">
      <c r="A782" s="2">
        <f t="shared" si="108"/>
        <v>781</v>
      </c>
      <c r="B782" s="7" t="s">
        <v>1002</v>
      </c>
      <c r="I782" s="15" t="s">
        <v>801</v>
      </c>
      <c r="J782" s="15">
        <v>780</v>
      </c>
      <c r="K782" s="4">
        <v>1.4178189999999999</v>
      </c>
      <c r="L782" s="4">
        <v>1.7438499999999999</v>
      </c>
      <c r="M782" s="4">
        <v>-0.58825700000000003</v>
      </c>
      <c r="N782" s="4">
        <v>0.89159600000000006</v>
      </c>
      <c r="O782" s="4">
        <v>-0.26584999999999998</v>
      </c>
      <c r="P782" s="4">
        <v>-0.110634</v>
      </c>
      <c r="Q782" s="4">
        <v>-0.48584100000000002</v>
      </c>
      <c r="R782" s="4">
        <v>0.18551400000000001</v>
      </c>
      <c r="S782" s="4">
        <v>0.44831599999999999</v>
      </c>
      <c r="T782" s="4">
        <v>-0.29503200000000002</v>
      </c>
    </row>
    <row r="783" spans="1:20" ht="18">
      <c r="A783" s="2">
        <f t="shared" si="108"/>
        <v>782</v>
      </c>
      <c r="B783" s="7" t="s">
        <v>1003</v>
      </c>
      <c r="I783" s="15" t="s">
        <v>802</v>
      </c>
      <c r="J783" s="15">
        <v>781</v>
      </c>
      <c r="K783" s="4">
        <v>0.21532699999999999</v>
      </c>
      <c r="L783" s="4">
        <v>1.473098</v>
      </c>
      <c r="M783" s="4">
        <v>6.365E-3</v>
      </c>
      <c r="N783" s="4">
        <v>1.575466</v>
      </c>
      <c r="O783" s="4">
        <v>-0.88084499999999999</v>
      </c>
      <c r="P783" s="4">
        <v>-1.2342880000000001</v>
      </c>
      <c r="Q783" s="4">
        <v>0.67007399999999995</v>
      </c>
      <c r="R783" s="4">
        <v>-0.11712400000000001</v>
      </c>
      <c r="S783" s="4">
        <v>-6.3892000000000004E-2</v>
      </c>
      <c r="T783" s="4">
        <v>2.1154959999999998</v>
      </c>
    </row>
    <row r="784" spans="1:20" ht="18">
      <c r="A784" s="2">
        <f t="shared" si="108"/>
        <v>783</v>
      </c>
      <c r="B784" s="7" t="s">
        <v>1004</v>
      </c>
      <c r="I784" s="15" t="s">
        <v>803</v>
      </c>
      <c r="J784" s="15">
        <v>782</v>
      </c>
      <c r="K784" s="4">
        <v>-0.47458600000000001</v>
      </c>
      <c r="L784" s="4">
        <v>1.419805</v>
      </c>
      <c r="M784" s="4">
        <v>1.96957</v>
      </c>
      <c r="N784" s="4">
        <v>-8.5983000000000004E-2</v>
      </c>
      <c r="O784" s="4">
        <v>0.85843999999999998</v>
      </c>
      <c r="P784" s="4">
        <v>-0.69799500000000003</v>
      </c>
      <c r="Q784" s="4">
        <v>-0.35460599999999998</v>
      </c>
      <c r="R784" s="4">
        <v>0.30198399999999997</v>
      </c>
      <c r="S784" s="4">
        <v>0.49897999999999998</v>
      </c>
      <c r="T784" s="4">
        <v>0.28004899999999999</v>
      </c>
    </row>
    <row r="785" spans="1:20" ht="18">
      <c r="A785" s="2">
        <f t="shared" si="108"/>
        <v>784</v>
      </c>
      <c r="B785" s="7" t="s">
        <v>1005</v>
      </c>
      <c r="I785" s="15" t="s">
        <v>804</v>
      </c>
      <c r="J785" s="15">
        <v>783</v>
      </c>
      <c r="K785" s="4">
        <v>-0.89150799999999997</v>
      </c>
      <c r="L785" s="4">
        <v>-0.474271</v>
      </c>
      <c r="M785" s="4">
        <v>-0.38644699999999998</v>
      </c>
      <c r="N785" s="4">
        <v>2.1730489999999998</v>
      </c>
      <c r="O785" s="4">
        <v>0.81440599999999996</v>
      </c>
      <c r="P785" s="4">
        <v>-1.6090960000000001</v>
      </c>
      <c r="Q785" s="4">
        <v>-2.1969509999999999</v>
      </c>
      <c r="R785" s="4">
        <v>2.0385E-2</v>
      </c>
      <c r="S785" s="4">
        <v>0.35605599999999998</v>
      </c>
      <c r="T785" s="4">
        <v>0.41314099999999998</v>
      </c>
    </row>
    <row r="786" spans="1:20" ht="18">
      <c r="A786" s="2">
        <f t="shared" si="108"/>
        <v>785</v>
      </c>
      <c r="B786" s="7" t="s">
        <v>1006</v>
      </c>
      <c r="I786" s="15" t="s">
        <v>805</v>
      </c>
      <c r="J786" s="15">
        <v>784</v>
      </c>
      <c r="K786" s="4">
        <v>1.006499</v>
      </c>
      <c r="L786" s="4">
        <v>-2.8506E-2</v>
      </c>
      <c r="M786" s="4">
        <v>0.22934299999999999</v>
      </c>
      <c r="N786" s="4">
        <v>0.88224499999999995</v>
      </c>
      <c r="O786" s="4">
        <v>1.0235270000000001</v>
      </c>
      <c r="P786" s="4">
        <v>0.13994500000000001</v>
      </c>
      <c r="Q786" s="4">
        <v>0.63252299999999995</v>
      </c>
      <c r="R786" s="4">
        <v>-0.83678600000000003</v>
      </c>
      <c r="S786" s="4">
        <v>-0.820407</v>
      </c>
      <c r="T786" s="4">
        <v>0.32178899999999999</v>
      </c>
    </row>
    <row r="787" spans="1:20" ht="18">
      <c r="A787" s="2">
        <f t="shared" si="108"/>
        <v>786</v>
      </c>
      <c r="B787" s="7" t="s">
        <v>1007</v>
      </c>
      <c r="I787" s="15" t="s">
        <v>806</v>
      </c>
      <c r="J787" s="15">
        <v>785</v>
      </c>
      <c r="K787" s="4">
        <v>1.648522</v>
      </c>
      <c r="L787" s="4">
        <v>9.2160000000000002E-3</v>
      </c>
      <c r="M787" s="4">
        <v>-0.72271799999999997</v>
      </c>
      <c r="N787" s="4">
        <v>-0.41881499999999999</v>
      </c>
      <c r="O787" s="4">
        <v>0.365948</v>
      </c>
      <c r="P787" s="4">
        <v>-1.658075</v>
      </c>
      <c r="Q787" s="4">
        <v>0.46355099999999999</v>
      </c>
      <c r="R787" s="4">
        <v>-0.469883</v>
      </c>
      <c r="S787" s="4">
        <v>0.39399200000000001</v>
      </c>
      <c r="T787" s="4">
        <v>-1.6951149999999999</v>
      </c>
    </row>
    <row r="788" spans="1:20" ht="18">
      <c r="A788" s="2">
        <f t="shared" si="108"/>
        <v>787</v>
      </c>
      <c r="B788" s="7" t="s">
        <v>1008</v>
      </c>
      <c r="I788" s="15" t="s">
        <v>807</v>
      </c>
      <c r="J788" s="15">
        <v>786</v>
      </c>
      <c r="K788" s="4">
        <v>-0.58996199999999999</v>
      </c>
      <c r="L788" s="4">
        <v>1.536651</v>
      </c>
      <c r="M788" s="4">
        <v>-1.0170710000000001</v>
      </c>
      <c r="N788" s="4">
        <v>0.46222999999999997</v>
      </c>
      <c r="O788" s="4">
        <v>0.49930000000000002</v>
      </c>
      <c r="P788" s="4">
        <v>1.598708</v>
      </c>
      <c r="Q788" s="4">
        <v>1.0037670000000001</v>
      </c>
      <c r="R788" s="4">
        <v>0.53420400000000001</v>
      </c>
      <c r="S788" s="4">
        <v>-0.26206699999999999</v>
      </c>
      <c r="T788" s="4">
        <v>0.51032100000000002</v>
      </c>
    </row>
    <row r="789" spans="1:20" ht="18">
      <c r="A789" s="2">
        <f t="shared" si="108"/>
        <v>788</v>
      </c>
      <c r="B789" s="7" t="s">
        <v>1009</v>
      </c>
      <c r="I789" s="15" t="s">
        <v>808</v>
      </c>
      <c r="J789" s="15">
        <v>787</v>
      </c>
      <c r="K789" s="4">
        <v>2.864239</v>
      </c>
      <c r="L789" s="4">
        <v>-0.73533400000000004</v>
      </c>
      <c r="M789" s="4">
        <v>-0.77397199999999999</v>
      </c>
      <c r="N789" s="4">
        <v>1.3738779999999999</v>
      </c>
      <c r="O789" s="4">
        <v>0.83608000000000005</v>
      </c>
      <c r="P789" s="4">
        <v>-1.4434419999999999</v>
      </c>
      <c r="Q789" s="4">
        <v>-1.3655839999999999</v>
      </c>
      <c r="R789" s="4">
        <v>2.316989</v>
      </c>
      <c r="S789" s="4">
        <v>-0.75026400000000004</v>
      </c>
      <c r="T789" s="4">
        <v>-0.40975899999999998</v>
      </c>
    </row>
    <row r="790" spans="1:20" ht="18">
      <c r="A790" s="2">
        <f t="shared" si="108"/>
        <v>789</v>
      </c>
      <c r="B790" s="7" t="s">
        <v>1010</v>
      </c>
      <c r="I790" s="15" t="s">
        <v>809</v>
      </c>
      <c r="J790" s="15">
        <v>788</v>
      </c>
      <c r="K790" s="4">
        <v>0.205705</v>
      </c>
      <c r="L790" s="4">
        <v>0.56269899999999995</v>
      </c>
      <c r="M790" s="4">
        <v>1.382679</v>
      </c>
      <c r="N790" s="4">
        <v>0.22129799999999999</v>
      </c>
      <c r="O790" s="4">
        <v>-1.4073690000000001</v>
      </c>
      <c r="P790" s="4">
        <v>0.51099600000000001</v>
      </c>
      <c r="Q790" s="4">
        <v>0.44410500000000003</v>
      </c>
      <c r="R790" s="4">
        <v>-0.33868799999999999</v>
      </c>
      <c r="S790" s="4">
        <v>-0.99598600000000004</v>
      </c>
      <c r="T790" s="4">
        <v>-0.45920899999999998</v>
      </c>
    </row>
    <row r="791" spans="1:20" ht="18">
      <c r="A791" s="2">
        <f t="shared" si="108"/>
        <v>790</v>
      </c>
      <c r="B791" s="7" t="s">
        <v>1011</v>
      </c>
      <c r="I791" s="15" t="s">
        <v>810</v>
      </c>
      <c r="J791" s="15">
        <v>789</v>
      </c>
      <c r="K791" s="4">
        <v>7.9685000000000006E-2</v>
      </c>
      <c r="L791" s="4">
        <v>0.58575100000000002</v>
      </c>
      <c r="M791" s="4">
        <v>-0.81025599999999998</v>
      </c>
      <c r="N791" s="4">
        <v>0.74562399999999995</v>
      </c>
      <c r="O791" s="4">
        <v>-0.38523499999999999</v>
      </c>
      <c r="P791" s="4">
        <v>0.451822</v>
      </c>
      <c r="Q791" s="4">
        <v>-0.26746399999999998</v>
      </c>
      <c r="R791" s="4">
        <v>-1.2902940000000001</v>
      </c>
      <c r="S791" s="4">
        <v>0.56188000000000005</v>
      </c>
      <c r="T791" s="4">
        <v>-0.16745399999999999</v>
      </c>
    </row>
    <row r="792" spans="1:20" ht="18">
      <c r="A792" s="2">
        <f t="shared" si="108"/>
        <v>791</v>
      </c>
      <c r="B792" s="7" t="s">
        <v>1012</v>
      </c>
      <c r="I792" s="15" t="s">
        <v>811</v>
      </c>
      <c r="J792" s="15">
        <v>790</v>
      </c>
      <c r="K792" s="4">
        <v>2.5839999999999999E-3</v>
      </c>
      <c r="L792" s="4">
        <v>1.8603000000000001</v>
      </c>
      <c r="M792" s="4">
        <v>0.787937</v>
      </c>
      <c r="N792" s="4">
        <v>-1.1802010000000001</v>
      </c>
      <c r="O792" s="4">
        <v>-0.94882</v>
      </c>
      <c r="P792" s="4">
        <v>0.82675200000000004</v>
      </c>
      <c r="Q792" s="4">
        <v>-8.0200999999999995E-2</v>
      </c>
      <c r="R792" s="4">
        <v>0.29173100000000002</v>
      </c>
      <c r="S792" s="4">
        <v>1.3910400000000001</v>
      </c>
      <c r="T792" s="4">
        <v>-0.78925699999999999</v>
      </c>
    </row>
    <row r="793" spans="1:20" ht="18">
      <c r="A793" s="2">
        <f t="shared" si="108"/>
        <v>792</v>
      </c>
      <c r="B793" s="7" t="s">
        <v>1013</v>
      </c>
      <c r="I793" s="15" t="s">
        <v>812</v>
      </c>
      <c r="J793" s="15">
        <v>791</v>
      </c>
      <c r="K793" s="4">
        <v>-0.90363499999999997</v>
      </c>
      <c r="L793" s="4">
        <v>1.444385</v>
      </c>
      <c r="M793" s="4">
        <v>-0.29439799999999999</v>
      </c>
      <c r="N793" s="4">
        <v>7.7661999999999995E-2</v>
      </c>
      <c r="O793" s="4">
        <v>-0.33726800000000001</v>
      </c>
      <c r="P793" s="4">
        <v>0.790157</v>
      </c>
      <c r="Q793" s="4">
        <v>3.7995000000000001E-2</v>
      </c>
      <c r="R793" s="4">
        <v>1.551213</v>
      </c>
      <c r="S793" s="4">
        <v>1.0636760000000001</v>
      </c>
      <c r="T793" s="4">
        <v>-0.184341</v>
      </c>
    </row>
    <row r="794" spans="1:20" ht="18">
      <c r="A794" s="2">
        <f t="shared" si="108"/>
        <v>793</v>
      </c>
      <c r="B794" s="7" t="s">
        <v>1014</v>
      </c>
      <c r="I794" s="15" t="s">
        <v>813</v>
      </c>
      <c r="J794" s="15">
        <v>792</v>
      </c>
      <c r="K794" s="4">
        <v>-1.623343</v>
      </c>
      <c r="L794" s="4">
        <v>-1.292705</v>
      </c>
      <c r="M794" s="4">
        <v>1.9292119999999999</v>
      </c>
      <c r="N794" s="4">
        <v>0.147369</v>
      </c>
      <c r="O794" s="4">
        <v>0.57002399999999998</v>
      </c>
      <c r="P794" s="4">
        <v>-1.1587369999999999</v>
      </c>
      <c r="Q794" s="4">
        <v>1.040394</v>
      </c>
      <c r="R794" s="4">
        <v>0.44445099999999998</v>
      </c>
      <c r="S794" s="4">
        <v>-0.176118</v>
      </c>
      <c r="T794" s="4">
        <v>0.20363400000000001</v>
      </c>
    </row>
    <row r="795" spans="1:20" ht="18">
      <c r="A795" s="2">
        <f t="shared" si="108"/>
        <v>794</v>
      </c>
      <c r="B795" s="7" t="s">
        <v>1015</v>
      </c>
      <c r="I795" s="15" t="s">
        <v>814</v>
      </c>
      <c r="J795" s="15">
        <v>793</v>
      </c>
      <c r="K795" s="4">
        <v>-1.1314649999999999</v>
      </c>
      <c r="L795" s="4">
        <v>0.22091</v>
      </c>
      <c r="M795" s="4">
        <v>-0.59633000000000003</v>
      </c>
      <c r="N795" s="4">
        <v>-0.32882</v>
      </c>
      <c r="O795" s="4">
        <v>0.14141599999999999</v>
      </c>
      <c r="P795" s="4">
        <v>5.1646999999999998E-2</v>
      </c>
      <c r="Q795" s="4">
        <v>6.0513999999999998E-2</v>
      </c>
      <c r="R795" s="4">
        <v>1.1070469999999999</v>
      </c>
      <c r="S795" s="4">
        <v>0.13522100000000001</v>
      </c>
      <c r="T795" s="4">
        <v>-1.869048</v>
      </c>
    </row>
    <row r="796" spans="1:20" ht="18">
      <c r="A796" s="2">
        <f t="shared" si="108"/>
        <v>795</v>
      </c>
      <c r="B796" s="7" t="s">
        <v>1016</v>
      </c>
      <c r="I796" s="15" t="s">
        <v>815</v>
      </c>
      <c r="J796" s="15">
        <v>794</v>
      </c>
      <c r="K796" s="4">
        <v>-0.520181</v>
      </c>
      <c r="L796" s="4">
        <v>-1.803361</v>
      </c>
      <c r="M796" s="4">
        <v>-0.30915900000000002</v>
      </c>
      <c r="N796" s="4">
        <v>0.96589100000000006</v>
      </c>
      <c r="O796" s="4">
        <v>-2.055939</v>
      </c>
      <c r="P796" s="4">
        <v>-0.250467</v>
      </c>
      <c r="Q796" s="4">
        <v>2.4350269999999998</v>
      </c>
      <c r="R796" s="4">
        <v>0.98147399999999996</v>
      </c>
      <c r="S796" s="4">
        <v>-0.64637599999999995</v>
      </c>
      <c r="T796" s="4">
        <v>-1.0052570000000001</v>
      </c>
    </row>
    <row r="797" spans="1:20" ht="18">
      <c r="A797" s="2">
        <f t="shared" si="108"/>
        <v>796</v>
      </c>
      <c r="B797" s="7" t="s">
        <v>1017</v>
      </c>
      <c r="I797" s="15" t="s">
        <v>816</v>
      </c>
      <c r="J797" s="15">
        <v>795</v>
      </c>
      <c r="K797" s="4">
        <v>-7.7907000000000004E-2</v>
      </c>
      <c r="L797" s="4">
        <v>0.51178199999999996</v>
      </c>
      <c r="M797" s="4">
        <v>-0.98363900000000004</v>
      </c>
      <c r="N797" s="4">
        <v>1.8384999999999999E-2</v>
      </c>
      <c r="O797" s="4">
        <v>-1.517649</v>
      </c>
      <c r="P797" s="4">
        <v>0.226186</v>
      </c>
      <c r="Q797" s="4">
        <v>0.61238700000000001</v>
      </c>
      <c r="R797" s="4">
        <v>0.73789099999999996</v>
      </c>
      <c r="S797" s="4">
        <v>-1.519363</v>
      </c>
      <c r="T797" s="4">
        <v>-0.25202999999999998</v>
      </c>
    </row>
    <row r="798" spans="1:20" ht="18">
      <c r="A798" s="2">
        <f t="shared" si="108"/>
        <v>797</v>
      </c>
      <c r="B798" s="7" t="s">
        <v>1018</v>
      </c>
      <c r="I798" s="15" t="s">
        <v>817</v>
      </c>
      <c r="J798" s="15">
        <v>796</v>
      </c>
      <c r="K798" s="4">
        <v>-1.5862670000000001</v>
      </c>
      <c r="L798" s="4">
        <v>1.0895999999999999</v>
      </c>
      <c r="M798" s="4">
        <v>-0.30349900000000002</v>
      </c>
      <c r="N798" s="4">
        <v>-1.4276009999999999</v>
      </c>
      <c r="O798" s="4">
        <v>-0.42992399999999997</v>
      </c>
      <c r="P798" s="4">
        <v>-0.46451700000000001</v>
      </c>
      <c r="Q798" s="4">
        <v>1.3254840000000001</v>
      </c>
      <c r="R798" s="4">
        <v>0.27565099999999998</v>
      </c>
      <c r="S798" s="4">
        <v>-0.29635699999999998</v>
      </c>
      <c r="T798" s="4">
        <v>0.43159700000000001</v>
      </c>
    </row>
    <row r="799" spans="1:20" ht="18">
      <c r="A799" s="2">
        <f t="shared" si="108"/>
        <v>798</v>
      </c>
      <c r="B799" s="7" t="s">
        <v>1019</v>
      </c>
      <c r="I799" s="15" t="s">
        <v>818</v>
      </c>
      <c r="J799" s="15">
        <v>797</v>
      </c>
      <c r="K799" s="4">
        <v>-0.97818899999999998</v>
      </c>
      <c r="L799" s="4">
        <v>-1.2490619999999999</v>
      </c>
      <c r="M799" s="4">
        <v>0.20308599999999999</v>
      </c>
      <c r="N799" s="4">
        <v>-1.4140839999999999</v>
      </c>
      <c r="O799" s="4">
        <v>-0.336924</v>
      </c>
      <c r="P799" s="4">
        <v>-0.14682100000000001</v>
      </c>
      <c r="Q799" s="4">
        <v>0.56600600000000001</v>
      </c>
      <c r="R799" s="4">
        <v>-4.7029999999999997E-3</v>
      </c>
      <c r="S799" s="4">
        <v>0.42043000000000003</v>
      </c>
      <c r="T799" s="4">
        <v>-1.0909469999999999</v>
      </c>
    </row>
    <row r="800" spans="1:20" ht="18">
      <c r="A800" s="2">
        <f t="shared" si="108"/>
        <v>799</v>
      </c>
      <c r="B800" s="7" t="s">
        <v>1020</v>
      </c>
      <c r="I800" s="15" t="s">
        <v>819</v>
      </c>
      <c r="J800" s="15">
        <v>798</v>
      </c>
      <c r="K800" s="4">
        <v>1.5801190000000001</v>
      </c>
      <c r="L800" s="4">
        <v>0.69118400000000002</v>
      </c>
      <c r="M800" s="4">
        <v>0.16959299999999999</v>
      </c>
      <c r="N800" s="4">
        <v>6.0881999999999999E-2</v>
      </c>
      <c r="O800" s="4">
        <v>0.263349</v>
      </c>
      <c r="P800" s="4">
        <v>0.76159399999999999</v>
      </c>
      <c r="Q800" s="4">
        <v>0.83039799999999997</v>
      </c>
      <c r="R800" s="4">
        <v>-0.579148</v>
      </c>
      <c r="S800" s="4">
        <v>1.3222370000000001</v>
      </c>
      <c r="T800" s="4">
        <v>0.333287</v>
      </c>
    </row>
    <row r="801" spans="1:20" ht="18">
      <c r="A801" s="2">
        <f t="shared" si="108"/>
        <v>800</v>
      </c>
      <c r="B801" s="7" t="s">
        <v>1021</v>
      </c>
      <c r="I801" s="15" t="s">
        <v>820</v>
      </c>
      <c r="J801" s="15">
        <v>799</v>
      </c>
      <c r="K801" s="4">
        <v>0.52588100000000004</v>
      </c>
      <c r="L801" s="4">
        <v>-0.71061200000000002</v>
      </c>
      <c r="M801" s="4">
        <v>2.2137720000000001</v>
      </c>
      <c r="N801" s="4">
        <v>1.4906889999999999</v>
      </c>
      <c r="O801" s="4">
        <v>-2.4208099999999999</v>
      </c>
      <c r="P801" s="4">
        <v>-0.18694</v>
      </c>
      <c r="Q801" s="4">
        <v>2.208628</v>
      </c>
      <c r="R801" s="4">
        <v>-0.64854599999999996</v>
      </c>
      <c r="S801" s="4">
        <v>-1.4186620000000001</v>
      </c>
      <c r="T801" s="4">
        <v>-5.6036000000000002E-2</v>
      </c>
    </row>
    <row r="802" spans="1:20" ht="18">
      <c r="A802" s="2">
        <f t="shared" si="108"/>
        <v>801</v>
      </c>
      <c r="B802" s="7" t="s">
        <v>1022</v>
      </c>
      <c r="I802" s="15" t="s">
        <v>821</v>
      </c>
      <c r="J802" s="15">
        <v>800</v>
      </c>
      <c r="K802" s="4">
        <v>-1.5473650000000001</v>
      </c>
      <c r="L802" s="4">
        <v>0.59070699999999998</v>
      </c>
      <c r="M802" s="4">
        <v>-0.48137799999999997</v>
      </c>
      <c r="N802" s="4">
        <v>0.54974400000000001</v>
      </c>
      <c r="O802" s="4">
        <v>-1.8481129999999999</v>
      </c>
      <c r="P802" s="4">
        <v>0.32014399999999998</v>
      </c>
      <c r="Q802" s="4">
        <v>1.231366</v>
      </c>
      <c r="R802" s="4">
        <v>-5.3836000000000002E-2</v>
      </c>
      <c r="S802" s="4">
        <v>-1.95024</v>
      </c>
      <c r="T802" s="4">
        <v>7.8612000000000001E-2</v>
      </c>
    </row>
    <row r="803" spans="1:20" ht="18">
      <c r="A803" s="2">
        <f t="shared" si="108"/>
        <v>802</v>
      </c>
      <c r="B803" s="7" t="s">
        <v>1023</v>
      </c>
      <c r="I803" s="15" t="s">
        <v>822</v>
      </c>
      <c r="J803" s="15">
        <v>801</v>
      </c>
      <c r="K803" s="4">
        <v>-0.48948999999999998</v>
      </c>
      <c r="L803" s="4">
        <v>-0.115328</v>
      </c>
      <c r="M803" s="4">
        <v>1.6844220000000001</v>
      </c>
      <c r="N803" s="4">
        <v>0.120256</v>
      </c>
      <c r="O803" s="4">
        <v>-0.35721900000000001</v>
      </c>
      <c r="P803" s="4">
        <v>0.34529500000000002</v>
      </c>
      <c r="Q803" s="4">
        <v>-0.70172999999999996</v>
      </c>
      <c r="R803" s="4">
        <v>2.4315739999999999</v>
      </c>
      <c r="S803" s="4">
        <v>-0.42328900000000003</v>
      </c>
      <c r="T803" s="4">
        <v>0.10717699999999999</v>
      </c>
    </row>
    <row r="804" spans="1:20" ht="18">
      <c r="A804" s="2">
        <f t="shared" si="108"/>
        <v>803</v>
      </c>
      <c r="B804" s="7" t="s">
        <v>1024</v>
      </c>
      <c r="I804" s="15" t="s">
        <v>823</v>
      </c>
      <c r="J804" s="15">
        <v>802</v>
      </c>
      <c r="K804" s="4">
        <v>-2.1732279999999999</v>
      </c>
      <c r="L804" s="4">
        <v>2.8240000000000001E-2</v>
      </c>
      <c r="M804" s="4">
        <v>-1.1410690000000001</v>
      </c>
      <c r="N804" s="4">
        <v>-0.67535599999999996</v>
      </c>
      <c r="O804" s="4">
        <v>1.0976E-2</v>
      </c>
      <c r="P804" s="4">
        <v>-0.72809100000000004</v>
      </c>
      <c r="Q804" s="4">
        <v>-1.3802140000000001</v>
      </c>
      <c r="R804" s="4">
        <v>0.33288800000000002</v>
      </c>
      <c r="S804" s="4">
        <v>-0.39520499999999997</v>
      </c>
      <c r="T804" s="4">
        <v>-0.62944299999999997</v>
      </c>
    </row>
    <row r="805" spans="1:20" ht="18">
      <c r="A805" s="2">
        <f t="shared" si="108"/>
        <v>804</v>
      </c>
      <c r="B805" s="7" t="s">
        <v>1025</v>
      </c>
      <c r="I805" s="15" t="s">
        <v>824</v>
      </c>
      <c r="J805" s="15">
        <v>803</v>
      </c>
      <c r="K805" s="4">
        <v>-9.5961000000000005E-2</v>
      </c>
      <c r="L805" s="4">
        <v>0.317191</v>
      </c>
      <c r="M805" s="4">
        <v>-0.15994</v>
      </c>
      <c r="N805" s="4">
        <v>-1.6630240000000001</v>
      </c>
      <c r="O805" s="4">
        <v>-6.2447999999999997E-2</v>
      </c>
      <c r="P805" s="4">
        <v>0.79447599999999996</v>
      </c>
      <c r="Q805" s="4">
        <v>7.0637000000000005E-2</v>
      </c>
      <c r="R805" s="4">
        <v>-0.79485899999999998</v>
      </c>
      <c r="S805" s="4">
        <v>2.2305999999999999E-2</v>
      </c>
      <c r="T805" s="4">
        <v>0.115217</v>
      </c>
    </row>
    <row r="806" spans="1:20" ht="18">
      <c r="A806" s="2">
        <f t="shared" si="108"/>
        <v>805</v>
      </c>
      <c r="B806" s="7" t="s">
        <v>1026</v>
      </c>
      <c r="I806" s="15" t="s">
        <v>825</v>
      </c>
      <c r="J806" s="15">
        <v>804</v>
      </c>
      <c r="K806" s="4">
        <v>-2.753444</v>
      </c>
      <c r="L806" s="4">
        <v>0.69382999999999995</v>
      </c>
      <c r="M806" s="4">
        <v>-2.015879</v>
      </c>
      <c r="N806" s="4">
        <v>-3.0489069999999998</v>
      </c>
      <c r="O806" s="4">
        <v>-0.41132200000000002</v>
      </c>
      <c r="P806" s="4">
        <v>7.6629999999999997E-3</v>
      </c>
      <c r="Q806" s="4">
        <v>-5.1851000000000001E-2</v>
      </c>
      <c r="R806" s="4">
        <v>0.19525000000000001</v>
      </c>
      <c r="S806" s="4">
        <v>0.23788200000000001</v>
      </c>
      <c r="T806" s="4">
        <v>2.1141770000000002</v>
      </c>
    </row>
    <row r="807" spans="1:20" ht="18">
      <c r="A807" s="2">
        <f t="shared" si="108"/>
        <v>806</v>
      </c>
      <c r="B807" s="7" t="s">
        <v>1027</v>
      </c>
      <c r="I807" s="15" t="s">
        <v>826</v>
      </c>
      <c r="J807" s="15">
        <v>805</v>
      </c>
      <c r="K807" s="4">
        <v>5.5409E-2</v>
      </c>
      <c r="L807" s="4">
        <v>1.4777E-2</v>
      </c>
      <c r="M807" s="4">
        <v>-0.49580600000000002</v>
      </c>
      <c r="N807" s="4">
        <v>-0.19805800000000001</v>
      </c>
      <c r="O807" s="4">
        <v>-1.4022669999999999</v>
      </c>
      <c r="P807" s="4">
        <v>-0.44250600000000001</v>
      </c>
      <c r="Q807" s="4">
        <v>0.40576800000000002</v>
      </c>
      <c r="R807" s="4">
        <v>1.391043</v>
      </c>
      <c r="S807" s="4">
        <v>-0.24585299999999999</v>
      </c>
      <c r="T807" s="4">
        <v>-1.4088499999999999</v>
      </c>
    </row>
    <row r="808" spans="1:20" ht="18">
      <c r="A808" s="2">
        <f t="shared" si="108"/>
        <v>807</v>
      </c>
      <c r="B808" s="7" t="s">
        <v>1028</v>
      </c>
      <c r="I808" s="15" t="s">
        <v>827</v>
      </c>
      <c r="J808" s="15">
        <v>806</v>
      </c>
      <c r="K808" s="4">
        <v>1.74481</v>
      </c>
      <c r="L808" s="4">
        <v>-5.6632000000000002E-2</v>
      </c>
      <c r="M808" s="4">
        <v>-9.7249000000000002E-2</v>
      </c>
      <c r="N808" s="4">
        <v>0.27377099999999999</v>
      </c>
      <c r="O808" s="4">
        <v>1.8891929999999999</v>
      </c>
      <c r="P808" s="4">
        <v>-0.603908</v>
      </c>
      <c r="Q808" s="4">
        <v>1.0056769999999999</v>
      </c>
      <c r="R808" s="4">
        <v>0.101467</v>
      </c>
      <c r="S808" s="4">
        <v>1.8111950000000001</v>
      </c>
      <c r="T808" s="4">
        <v>-0.41172799999999998</v>
      </c>
    </row>
    <row r="809" spans="1:20" ht="18">
      <c r="A809" s="2">
        <f t="shared" si="108"/>
        <v>808</v>
      </c>
      <c r="B809" s="7" t="s">
        <v>1029</v>
      </c>
      <c r="I809" s="15" t="s">
        <v>828</v>
      </c>
      <c r="J809" s="15">
        <v>807</v>
      </c>
      <c r="K809" s="4">
        <v>-1.6648860000000001</v>
      </c>
      <c r="L809" s="4">
        <v>1.3658710000000001</v>
      </c>
      <c r="M809" s="4">
        <v>-0.74273900000000004</v>
      </c>
      <c r="N809" s="4">
        <v>-0.39922299999999999</v>
      </c>
      <c r="O809" s="4">
        <v>-1.622139</v>
      </c>
      <c r="P809" s="4">
        <v>1.0203089999999999</v>
      </c>
      <c r="Q809" s="4">
        <v>-1.1091340000000001</v>
      </c>
      <c r="R809" s="4">
        <v>-0.29894100000000001</v>
      </c>
      <c r="S809" s="4">
        <v>-1.4880409999999999</v>
      </c>
      <c r="T809" s="4">
        <v>0.90452100000000002</v>
      </c>
    </row>
    <row r="810" spans="1:20" ht="18">
      <c r="A810" s="2">
        <f t="shared" si="108"/>
        <v>809</v>
      </c>
      <c r="B810" s="7" t="s">
        <v>1030</v>
      </c>
      <c r="I810" s="15" t="s">
        <v>829</v>
      </c>
      <c r="J810" s="15">
        <v>808</v>
      </c>
      <c r="K810" s="4">
        <v>-0.37896800000000003</v>
      </c>
      <c r="L810" s="4">
        <v>-0.28841600000000001</v>
      </c>
      <c r="M810" s="4">
        <v>-2.2943609999999999</v>
      </c>
      <c r="N810" s="4">
        <v>-2.3628979999999999</v>
      </c>
      <c r="O810" s="4">
        <v>1.1030279999999999</v>
      </c>
      <c r="P810" s="4">
        <v>0.118419</v>
      </c>
      <c r="Q810" s="4">
        <v>1.179049</v>
      </c>
      <c r="R810" s="4">
        <v>1.1366350000000001</v>
      </c>
      <c r="S810" s="4">
        <v>0.60597000000000001</v>
      </c>
      <c r="T810" s="4">
        <v>-1.1221179999999999</v>
      </c>
    </row>
    <row r="811" spans="1:20" ht="18">
      <c r="A811" s="2">
        <f t="shared" si="108"/>
        <v>810</v>
      </c>
      <c r="B811" s="7" t="s">
        <v>1031</v>
      </c>
      <c r="I811" s="15" t="s">
        <v>830</v>
      </c>
      <c r="J811" s="15">
        <v>809</v>
      </c>
      <c r="K811" s="4">
        <v>0.71421100000000004</v>
      </c>
      <c r="L811" s="4">
        <v>0.34363199999999999</v>
      </c>
      <c r="M811" s="4">
        <v>-2.1441479999999999</v>
      </c>
      <c r="N811" s="4">
        <v>0.122489</v>
      </c>
      <c r="O811" s="4">
        <v>0.50712699999999999</v>
      </c>
      <c r="P811" s="4">
        <v>0.34671299999999999</v>
      </c>
      <c r="Q811" s="4">
        <v>0.76783800000000002</v>
      </c>
      <c r="R811" s="4">
        <v>0.366732</v>
      </c>
      <c r="S811" s="4">
        <v>-1.0799650000000001</v>
      </c>
      <c r="T811" s="4">
        <v>-1.5810070000000001</v>
      </c>
    </row>
    <row r="812" spans="1:20" ht="18">
      <c r="A812" s="2">
        <f t="shared" si="108"/>
        <v>811</v>
      </c>
      <c r="B812" s="7" t="s">
        <v>1032</v>
      </c>
      <c r="I812" s="15" t="s">
        <v>831</v>
      </c>
      <c r="J812" s="15">
        <v>810</v>
      </c>
      <c r="K812" s="4">
        <v>0.27484599999999998</v>
      </c>
      <c r="L812" s="4">
        <v>-0.92183999999999999</v>
      </c>
      <c r="M812" s="4">
        <v>-0.244085</v>
      </c>
      <c r="N812" s="4">
        <v>-1.095575</v>
      </c>
      <c r="O812" s="4">
        <v>-0.430475</v>
      </c>
      <c r="P812" s="4">
        <v>-0.2311</v>
      </c>
      <c r="Q812" s="4">
        <v>0.71584899999999996</v>
      </c>
      <c r="R812" s="4">
        <v>0.64418399999999998</v>
      </c>
      <c r="S812" s="4">
        <v>1.0267109999999999</v>
      </c>
      <c r="T812" s="4">
        <v>-8.2354999999999998E-2</v>
      </c>
    </row>
    <row r="813" spans="1:20" ht="18">
      <c r="A813" s="2">
        <f t="shared" si="108"/>
        <v>812</v>
      </c>
      <c r="B813" s="7" t="s">
        <v>1033</v>
      </c>
      <c r="I813" s="15" t="s">
        <v>832</v>
      </c>
      <c r="J813" s="15">
        <v>811</v>
      </c>
      <c r="K813" s="4">
        <v>-0.69113100000000005</v>
      </c>
      <c r="L813" s="4">
        <v>1.0497540000000001</v>
      </c>
      <c r="M813" s="4">
        <v>1.2626919999999999</v>
      </c>
      <c r="N813" s="4">
        <v>-0.18624099999999999</v>
      </c>
      <c r="O813" s="4">
        <v>-0.42095100000000002</v>
      </c>
      <c r="P813" s="4">
        <v>-0.85963900000000004</v>
      </c>
      <c r="Q813" s="4">
        <v>0.32071300000000003</v>
      </c>
      <c r="R813" s="4">
        <v>0.65563300000000002</v>
      </c>
      <c r="S813" s="4">
        <v>0.39332499999999998</v>
      </c>
      <c r="T813" s="4">
        <v>-0.70841799999999999</v>
      </c>
    </row>
    <row r="814" spans="1:20" ht="18">
      <c r="A814" s="2">
        <f t="shared" si="108"/>
        <v>813</v>
      </c>
      <c r="B814" s="7" t="s">
        <v>1034</v>
      </c>
      <c r="I814" s="15" t="s">
        <v>15</v>
      </c>
      <c r="J814" s="15">
        <v>812</v>
      </c>
      <c r="K814" s="4">
        <v>1.5031300000000001</v>
      </c>
      <c r="L814" s="4">
        <v>-1.568716</v>
      </c>
      <c r="M814" s="4">
        <v>2.2206009999999998</v>
      </c>
      <c r="N814" s="4">
        <v>-1.4878130000000001</v>
      </c>
      <c r="O814" s="4">
        <v>-0.18801599999999999</v>
      </c>
      <c r="P814" s="4">
        <v>1.1160300000000001</v>
      </c>
      <c r="Q814" s="4">
        <v>-0.527281</v>
      </c>
      <c r="R814" s="4">
        <v>1.4215949999999999</v>
      </c>
      <c r="S814" s="4">
        <v>0.20618</v>
      </c>
      <c r="T814" s="4">
        <v>0.46781699999999998</v>
      </c>
    </row>
    <row r="815" spans="1:20" ht="18">
      <c r="A815" s="2">
        <f t="shared" si="108"/>
        <v>814</v>
      </c>
      <c r="B815" s="7" t="s">
        <v>1035</v>
      </c>
      <c r="I815" s="15" t="s">
        <v>833</v>
      </c>
      <c r="J815" s="15">
        <v>813</v>
      </c>
      <c r="K815" s="4">
        <v>0.30854100000000001</v>
      </c>
      <c r="L815" s="4">
        <v>-0.154392</v>
      </c>
      <c r="M815" s="4">
        <v>4.9350000000000002E-3</v>
      </c>
      <c r="N815" s="4">
        <v>-1.579059</v>
      </c>
      <c r="O815" s="4">
        <v>-0.51968899999999996</v>
      </c>
      <c r="P815" s="4">
        <v>0.17494999999999999</v>
      </c>
      <c r="Q815" s="4">
        <v>0.807944</v>
      </c>
      <c r="R815" s="4">
        <v>1.265725</v>
      </c>
      <c r="S815" s="4">
        <v>0.44257600000000002</v>
      </c>
      <c r="T815" s="4">
        <v>-0.94018400000000002</v>
      </c>
    </row>
    <row r="816" spans="1:20" ht="18">
      <c r="A816" s="2">
        <f t="shared" si="108"/>
        <v>815</v>
      </c>
      <c r="B816" s="7" t="s">
        <v>1036</v>
      </c>
      <c r="I816" s="15" t="s">
        <v>834</v>
      </c>
      <c r="J816" s="15">
        <v>814</v>
      </c>
      <c r="K816" s="4">
        <v>0.51518299999999995</v>
      </c>
      <c r="L816" s="4">
        <v>0.69032499999999997</v>
      </c>
      <c r="M816" s="4">
        <v>-0.38529099999999999</v>
      </c>
      <c r="N816" s="4">
        <v>-3.9849640000000002</v>
      </c>
      <c r="O816" s="4">
        <v>0.202566</v>
      </c>
      <c r="P816" s="4">
        <v>1.477014</v>
      </c>
      <c r="Q816" s="4">
        <v>-0.39858500000000002</v>
      </c>
      <c r="R816" s="4">
        <v>0.11928</v>
      </c>
      <c r="S816" s="4">
        <v>-2.36294</v>
      </c>
      <c r="T816" s="4">
        <v>0.50268599999999997</v>
      </c>
    </row>
    <row r="817" spans="1:20" ht="18">
      <c r="A817" s="2">
        <f t="shared" si="108"/>
        <v>816</v>
      </c>
      <c r="B817" s="7" t="s">
        <v>1037</v>
      </c>
      <c r="I817" s="15" t="s">
        <v>835</v>
      </c>
      <c r="J817" s="15">
        <v>815</v>
      </c>
      <c r="K817" s="4">
        <v>-1.307852</v>
      </c>
      <c r="L817" s="4">
        <v>-0.31992999999999999</v>
      </c>
      <c r="M817" s="4">
        <v>1.3596330000000001</v>
      </c>
      <c r="N817" s="4">
        <v>0.91138699999999995</v>
      </c>
      <c r="O817" s="4">
        <v>-1.1755800000000001</v>
      </c>
      <c r="P817" s="4">
        <v>-1.6999390000000001</v>
      </c>
      <c r="Q817" s="4">
        <v>-0.27609600000000001</v>
      </c>
      <c r="R817" s="4">
        <v>-2.2956759999999998</v>
      </c>
      <c r="S817" s="4">
        <v>-0.27018500000000001</v>
      </c>
      <c r="T817" s="4">
        <v>0.70569000000000004</v>
      </c>
    </row>
    <row r="818" spans="1:20" ht="18">
      <c r="A818" s="2">
        <f t="shared" si="108"/>
        <v>817</v>
      </c>
      <c r="B818" s="7" t="s">
        <v>1038</v>
      </c>
      <c r="I818" s="15" t="s">
        <v>836</v>
      </c>
      <c r="J818" s="15">
        <v>816</v>
      </c>
      <c r="K818" s="4">
        <v>1.7646770000000001</v>
      </c>
      <c r="L818" s="4">
        <v>1.6428149999999999</v>
      </c>
      <c r="M818" s="4">
        <v>-0.96580900000000003</v>
      </c>
      <c r="N818" s="4">
        <v>1.4792099999999999</v>
      </c>
      <c r="O818" s="4">
        <v>0.22786799999999999</v>
      </c>
      <c r="P818" s="4">
        <v>0.340868</v>
      </c>
      <c r="Q818" s="4">
        <v>0.63499899999999998</v>
      </c>
      <c r="R818" s="4">
        <v>6.3436000000000006E-2</v>
      </c>
      <c r="S818" s="4">
        <v>-0.89070099999999996</v>
      </c>
      <c r="T818" s="4">
        <v>0.53557999999999995</v>
      </c>
    </row>
    <row r="819" spans="1:20" ht="18">
      <c r="A819" s="2">
        <f t="shared" si="108"/>
        <v>818</v>
      </c>
      <c r="B819" s="7" t="s">
        <v>1039</v>
      </c>
      <c r="I819" s="15" t="s">
        <v>837</v>
      </c>
      <c r="J819" s="15">
        <v>817</v>
      </c>
      <c r="K819" s="4">
        <v>-1.3241419999999999</v>
      </c>
      <c r="L819" s="4">
        <v>4.8010999999999998E-2</v>
      </c>
      <c r="M819" s="4">
        <v>0.50852900000000001</v>
      </c>
      <c r="N819" s="4">
        <v>2.5937420000000002</v>
      </c>
      <c r="O819" s="4">
        <v>-1.7585519999999999</v>
      </c>
      <c r="P819" s="4">
        <v>1.3411660000000001</v>
      </c>
      <c r="Q819" s="4">
        <v>-0.36149399999999998</v>
      </c>
      <c r="R819" s="4">
        <v>0.31703999999999999</v>
      </c>
      <c r="S819" s="4">
        <v>-0.84570000000000001</v>
      </c>
      <c r="T819" s="4">
        <v>-1.4052E-2</v>
      </c>
    </row>
    <row r="820" spans="1:20" ht="18">
      <c r="A820" s="2">
        <f t="shared" si="108"/>
        <v>819</v>
      </c>
      <c r="B820" s="7" t="s">
        <v>1040</v>
      </c>
      <c r="I820" s="15" t="s">
        <v>838</v>
      </c>
      <c r="J820" s="15">
        <v>818</v>
      </c>
      <c r="K820" s="4">
        <v>0.30223100000000003</v>
      </c>
      <c r="L820" s="4">
        <v>-0.317052</v>
      </c>
      <c r="M820" s="4">
        <v>1.52094</v>
      </c>
      <c r="N820" s="4">
        <v>6.4604999999999996E-2</v>
      </c>
      <c r="O820" s="4">
        <v>1.267943</v>
      </c>
      <c r="P820" s="4">
        <v>-4.3735000000000003E-2</v>
      </c>
      <c r="Q820" s="4">
        <v>-0.51402899999999996</v>
      </c>
      <c r="R820" s="4">
        <v>0.751691</v>
      </c>
      <c r="S820" s="4">
        <v>-0.941249</v>
      </c>
      <c r="T820" s="4">
        <v>1.1018380000000001</v>
      </c>
    </row>
    <row r="821" spans="1:20" ht="18">
      <c r="A821" s="2">
        <f t="shared" si="108"/>
        <v>820</v>
      </c>
      <c r="B821" s="7" t="s">
        <v>1041</v>
      </c>
      <c r="I821" s="15" t="s">
        <v>839</v>
      </c>
      <c r="J821" s="15">
        <v>819</v>
      </c>
      <c r="K821" s="4">
        <v>0.63802099999999995</v>
      </c>
      <c r="L821" s="4">
        <v>0.67366899999999996</v>
      </c>
      <c r="M821" s="4">
        <v>1.2901260000000001</v>
      </c>
      <c r="N821" s="4">
        <v>-1.199519</v>
      </c>
      <c r="O821" s="4">
        <v>-1.5192639999999999</v>
      </c>
      <c r="P821" s="4">
        <v>-0.42180800000000002</v>
      </c>
      <c r="Q821" s="4">
        <v>-0.65227400000000002</v>
      </c>
      <c r="R821" s="4">
        <v>0.14621100000000001</v>
      </c>
      <c r="S821" s="4">
        <v>0.99350099999999997</v>
      </c>
      <c r="T821" s="4">
        <v>0.19897100000000001</v>
      </c>
    </row>
    <row r="822" spans="1:20" ht="18">
      <c r="A822" s="2">
        <f t="shared" si="108"/>
        <v>821</v>
      </c>
      <c r="B822" s="7" t="s">
        <v>1042</v>
      </c>
      <c r="I822" s="15" t="s">
        <v>840</v>
      </c>
      <c r="J822" s="15">
        <v>820</v>
      </c>
      <c r="K822" s="4">
        <v>-1.3509500000000001</v>
      </c>
      <c r="L822" s="4">
        <v>-0.58094900000000005</v>
      </c>
      <c r="M822" s="4">
        <v>-0.97439299999999995</v>
      </c>
      <c r="N822" s="4">
        <v>1.292559</v>
      </c>
      <c r="O822" s="4">
        <v>-1.0890169999999999</v>
      </c>
      <c r="P822" s="4">
        <v>-0.15604499999999999</v>
      </c>
      <c r="Q822" s="4">
        <v>-0.183312</v>
      </c>
      <c r="R822" s="4">
        <v>1.2539359999999999</v>
      </c>
      <c r="S822" s="4">
        <v>0.82944799999999996</v>
      </c>
      <c r="T822" s="4">
        <v>0.546315</v>
      </c>
    </row>
    <row r="823" spans="1:20" ht="18">
      <c r="A823" s="2">
        <f t="shared" si="108"/>
        <v>822</v>
      </c>
      <c r="B823" s="7" t="s">
        <v>1043</v>
      </c>
      <c r="I823" s="15" t="s">
        <v>841</v>
      </c>
      <c r="J823" s="15">
        <v>821</v>
      </c>
      <c r="K823" s="4">
        <v>-0.50997099999999995</v>
      </c>
      <c r="L823" s="4">
        <v>0.58544399999999996</v>
      </c>
      <c r="M823" s="4">
        <v>0.51234800000000003</v>
      </c>
      <c r="N823" s="4">
        <v>-0.53885700000000003</v>
      </c>
      <c r="O823" s="4">
        <v>-0.92702499999999999</v>
      </c>
      <c r="P823" s="4">
        <v>0.687052</v>
      </c>
      <c r="Q823" s="4">
        <v>-1.262621</v>
      </c>
      <c r="R823" s="4">
        <v>1.1731</v>
      </c>
      <c r="S823" s="4">
        <v>-0.52463599999999999</v>
      </c>
      <c r="T823" s="4">
        <v>0.228051</v>
      </c>
    </row>
    <row r="824" spans="1:20" ht="18">
      <c r="A824" s="2">
        <f t="shared" si="108"/>
        <v>823</v>
      </c>
      <c r="B824" s="7" t="s">
        <v>1044</v>
      </c>
      <c r="I824" s="15" t="s">
        <v>842</v>
      </c>
      <c r="J824" s="15">
        <v>822</v>
      </c>
      <c r="K824" s="4">
        <v>0.49119699999999999</v>
      </c>
      <c r="L824" s="4">
        <v>-0.44544400000000001</v>
      </c>
      <c r="M824" s="4">
        <v>0.714422</v>
      </c>
      <c r="N824" s="4">
        <v>-0.45608500000000002</v>
      </c>
      <c r="O824" s="4">
        <v>0.60725300000000004</v>
      </c>
      <c r="P824" s="4">
        <v>1.5109429999999999</v>
      </c>
      <c r="Q824" s="4">
        <v>0.53618699999999997</v>
      </c>
      <c r="R824" s="4">
        <v>0.70645999999999998</v>
      </c>
      <c r="S824" s="4">
        <v>0.77585400000000004</v>
      </c>
      <c r="T824" s="4">
        <v>-1.7866280000000001</v>
      </c>
    </row>
    <row r="825" spans="1:20" ht="18">
      <c r="A825" s="2">
        <f t="shared" si="108"/>
        <v>824</v>
      </c>
      <c r="B825" s="7" t="s">
        <v>1045</v>
      </c>
      <c r="I825" s="15" t="s">
        <v>843</v>
      </c>
      <c r="J825" s="15">
        <v>823</v>
      </c>
      <c r="K825" s="4">
        <v>1.14527</v>
      </c>
      <c r="L825" s="4">
        <v>1.5692889999999999</v>
      </c>
      <c r="M825" s="4">
        <v>1.2960799999999999</v>
      </c>
      <c r="N825" s="4">
        <v>-1.2600199999999999</v>
      </c>
      <c r="O825" s="4">
        <v>1.307914</v>
      </c>
      <c r="P825" s="4">
        <v>1.169923</v>
      </c>
      <c r="Q825" s="4">
        <v>1.4477960000000001</v>
      </c>
      <c r="R825" s="4">
        <v>1.377818</v>
      </c>
      <c r="S825" s="4">
        <v>-7.9422999999999994E-2</v>
      </c>
      <c r="T825" s="4">
        <v>1.7456780000000001</v>
      </c>
    </row>
    <row r="826" spans="1:20" ht="18">
      <c r="A826" s="2">
        <f t="shared" si="108"/>
        <v>825</v>
      </c>
      <c r="B826" s="7" t="s">
        <v>1046</v>
      </c>
      <c r="I826" s="15" t="s">
        <v>844</v>
      </c>
      <c r="J826" s="15">
        <v>824</v>
      </c>
      <c r="K826" s="4">
        <v>-0.152283</v>
      </c>
      <c r="L826" s="4">
        <v>-1.1626479999999999</v>
      </c>
      <c r="M826" s="4">
        <v>-0.354962</v>
      </c>
      <c r="N826" s="4">
        <v>-1.676585</v>
      </c>
      <c r="O826" s="4">
        <v>-0.10016</v>
      </c>
      <c r="P826" s="4">
        <v>0.13425599999999999</v>
      </c>
      <c r="Q826" s="4">
        <v>-1.36548</v>
      </c>
      <c r="R826" s="4">
        <v>0.65569100000000002</v>
      </c>
      <c r="S826" s="4">
        <v>-0.238813</v>
      </c>
      <c r="T826" s="4">
        <v>-0.55257100000000003</v>
      </c>
    </row>
    <row r="827" spans="1:20" ht="18">
      <c r="A827" s="2">
        <f t="shared" si="108"/>
        <v>826</v>
      </c>
      <c r="B827" s="7" t="s">
        <v>1047</v>
      </c>
      <c r="I827" s="15" t="s">
        <v>845</v>
      </c>
      <c r="J827" s="15">
        <v>825</v>
      </c>
      <c r="K827" s="4">
        <v>0.96986300000000003</v>
      </c>
      <c r="L827" s="4">
        <v>-2.2973159999999999</v>
      </c>
      <c r="M827" s="4">
        <v>-1.963938</v>
      </c>
      <c r="N827" s="4">
        <v>-1.106554</v>
      </c>
      <c r="O827" s="4">
        <v>-0.28114899999999998</v>
      </c>
      <c r="P827" s="4">
        <v>-0.106421</v>
      </c>
      <c r="Q827" s="4">
        <v>-0.51440900000000001</v>
      </c>
      <c r="R827" s="4">
        <v>2.4819200000000001</v>
      </c>
      <c r="S827" s="4">
        <v>0.44907999999999998</v>
      </c>
      <c r="T827" s="4">
        <v>-0.36391699999999999</v>
      </c>
    </row>
    <row r="828" spans="1:20" ht="18">
      <c r="A828" s="2">
        <f t="shared" si="108"/>
        <v>827</v>
      </c>
      <c r="B828" s="7" t="s">
        <v>1048</v>
      </c>
      <c r="I828" s="15" t="s">
        <v>846</v>
      </c>
      <c r="J828" s="15">
        <v>826</v>
      </c>
      <c r="K828" s="4">
        <v>-0.27212700000000001</v>
      </c>
      <c r="L828" s="4">
        <v>-0.58066099999999998</v>
      </c>
      <c r="M828" s="4">
        <v>-1.0879E-2</v>
      </c>
      <c r="N828" s="4">
        <v>1.3269</v>
      </c>
      <c r="O828" s="4">
        <v>1.820441</v>
      </c>
      <c r="P828" s="4">
        <v>-5.2062999999999998E-2</v>
      </c>
      <c r="Q828" s="4">
        <v>1.928318</v>
      </c>
      <c r="R828" s="4">
        <v>1.839329</v>
      </c>
      <c r="S828" s="4">
        <v>3.3280069999999999</v>
      </c>
      <c r="T828" s="4">
        <v>1.45045</v>
      </c>
    </row>
    <row r="829" spans="1:20" ht="18">
      <c r="A829" s="2">
        <f t="shared" si="108"/>
        <v>828</v>
      </c>
      <c r="B829" s="7" t="s">
        <v>1049</v>
      </c>
      <c r="I829" s="15" t="s">
        <v>847</v>
      </c>
      <c r="J829" s="15">
        <v>827</v>
      </c>
      <c r="K829" s="4">
        <v>-0.43365999999999999</v>
      </c>
      <c r="L829" s="4">
        <v>-0.32471699999999998</v>
      </c>
      <c r="M829" s="4">
        <v>3.1698999999999998E-2</v>
      </c>
      <c r="N829" s="4">
        <v>0.34007399999999999</v>
      </c>
      <c r="O829" s="4">
        <v>-0.104535</v>
      </c>
      <c r="P829" s="4">
        <v>1.5160640000000001</v>
      </c>
      <c r="Q829" s="4">
        <v>1.2179530000000001</v>
      </c>
      <c r="R829" s="4">
        <v>0.73325499999999999</v>
      </c>
      <c r="S829" s="4">
        <v>-0.33856700000000001</v>
      </c>
      <c r="T829" s="4">
        <v>-0.60847700000000005</v>
      </c>
    </row>
    <row r="830" spans="1:20" ht="18">
      <c r="A830" s="2">
        <f t="shared" si="108"/>
        <v>829</v>
      </c>
      <c r="B830" s="7" t="s">
        <v>1050</v>
      </c>
      <c r="I830" s="15" t="s">
        <v>848</v>
      </c>
      <c r="J830" s="15">
        <v>828</v>
      </c>
      <c r="K830" s="4">
        <v>-0.99407000000000001</v>
      </c>
      <c r="L830" s="4">
        <v>-0.90521799999999997</v>
      </c>
      <c r="M830" s="4">
        <v>-1.4628030000000001</v>
      </c>
      <c r="N830" s="4">
        <v>-1.0704689999999999</v>
      </c>
      <c r="O830" s="4">
        <v>-0.39979900000000002</v>
      </c>
      <c r="P830" s="4">
        <v>-1.0524039999999999</v>
      </c>
      <c r="Q830" s="4">
        <v>-0.28282200000000002</v>
      </c>
      <c r="R830" s="4">
        <v>2.3539629999999998</v>
      </c>
      <c r="S830" s="4">
        <v>0.62995999999999996</v>
      </c>
      <c r="T830" s="4">
        <v>-0.65843700000000005</v>
      </c>
    </row>
    <row r="831" spans="1:20" ht="18">
      <c r="A831" s="2">
        <f t="shared" si="108"/>
        <v>830</v>
      </c>
      <c r="B831" s="7" t="s">
        <v>1051</v>
      </c>
      <c r="I831" s="15" t="s">
        <v>849</v>
      </c>
      <c r="J831" s="15">
        <v>829</v>
      </c>
      <c r="K831" s="4">
        <v>-1.0400069999999999</v>
      </c>
      <c r="L831" s="4">
        <v>-1.1577E-2</v>
      </c>
      <c r="M831" s="4">
        <v>0.39340799999999998</v>
      </c>
      <c r="N831" s="4">
        <v>-1.0307820000000001</v>
      </c>
      <c r="O831" s="4">
        <v>0.65831700000000004</v>
      </c>
      <c r="P831" s="4">
        <v>-0.58335899999999996</v>
      </c>
      <c r="Q831" s="4">
        <v>0.578434</v>
      </c>
      <c r="R831" s="4">
        <v>-3.4030999999999999E-2</v>
      </c>
      <c r="S831" s="4">
        <v>-0.83962499999999995</v>
      </c>
      <c r="T831" s="4">
        <v>-0.31664999999999999</v>
      </c>
    </row>
    <row r="832" spans="1:20" ht="18">
      <c r="A832" s="2">
        <f t="shared" si="108"/>
        <v>831</v>
      </c>
      <c r="B832" s="7" t="s">
        <v>1052</v>
      </c>
      <c r="I832" s="15" t="s">
        <v>850</v>
      </c>
      <c r="J832" s="15">
        <v>830</v>
      </c>
      <c r="K832" s="4">
        <v>0.73591899999999999</v>
      </c>
      <c r="L832" s="4">
        <v>1.099656</v>
      </c>
      <c r="M832" s="4">
        <v>0.53684600000000005</v>
      </c>
      <c r="N832" s="4">
        <v>-0.59761699999999995</v>
      </c>
      <c r="O832" s="4">
        <v>0.29711799999999999</v>
      </c>
      <c r="P832" s="4">
        <v>-1.7074499999999999</v>
      </c>
      <c r="Q832" s="4">
        <v>-0.248417</v>
      </c>
      <c r="R832" s="4">
        <v>-0.95116999999999996</v>
      </c>
      <c r="S832" s="4">
        <v>-4.7506E-2</v>
      </c>
      <c r="T832" s="4">
        <v>0.80420000000000003</v>
      </c>
    </row>
    <row r="833" spans="1:20" ht="18">
      <c r="A833" s="2">
        <f t="shared" si="108"/>
        <v>832</v>
      </c>
      <c r="B833" s="7" t="s">
        <v>1053</v>
      </c>
      <c r="I833" s="15" t="s">
        <v>851</v>
      </c>
      <c r="J833" s="15">
        <v>831</v>
      </c>
      <c r="K833" s="4">
        <v>-0.36285299999999998</v>
      </c>
      <c r="L833" s="4">
        <v>-0.75071600000000005</v>
      </c>
      <c r="M833" s="4">
        <v>0.15167800000000001</v>
      </c>
      <c r="N833" s="4">
        <v>1.6043639999999999</v>
      </c>
      <c r="O833" s="4">
        <v>0.35325400000000001</v>
      </c>
      <c r="P833" s="4">
        <v>0.49974299999999999</v>
      </c>
      <c r="Q833" s="4">
        <v>-2.4284469999999998</v>
      </c>
      <c r="R833" s="4">
        <v>-0.54880799999999996</v>
      </c>
      <c r="S833" s="4">
        <v>-1.689943</v>
      </c>
      <c r="T833" s="4">
        <v>-0.67443600000000004</v>
      </c>
    </row>
    <row r="834" spans="1:20" ht="18">
      <c r="A834" s="2">
        <f t="shared" si="108"/>
        <v>833</v>
      </c>
      <c r="B834" s="7" t="s">
        <v>1054</v>
      </c>
      <c r="I834" s="15" t="s">
        <v>852</v>
      </c>
      <c r="J834" s="15">
        <v>832</v>
      </c>
      <c r="K834" s="4">
        <v>1.361119</v>
      </c>
      <c r="L834" s="4">
        <v>-8.7225999999999998E-2</v>
      </c>
      <c r="M834" s="4">
        <v>-1.562673</v>
      </c>
      <c r="N834" s="4">
        <v>1.065334</v>
      </c>
      <c r="O834" s="4">
        <v>1.175084</v>
      </c>
      <c r="P834" s="4">
        <v>-1.9682000000000002E-2</v>
      </c>
      <c r="Q834" s="4">
        <v>1.391472</v>
      </c>
      <c r="R834" s="4">
        <v>7.5651999999999997E-2</v>
      </c>
      <c r="S834" s="4">
        <v>1.641948</v>
      </c>
      <c r="T834" s="4">
        <v>7.5452000000000005E-2</v>
      </c>
    </row>
    <row r="835" spans="1:20" ht="18">
      <c r="A835" s="2">
        <f t="shared" ref="A835:A898" si="109">ROW()-1</f>
        <v>834</v>
      </c>
      <c r="B835" s="7" t="s">
        <v>1055</v>
      </c>
      <c r="I835" s="15" t="s">
        <v>853</v>
      </c>
      <c r="J835" s="15">
        <v>833</v>
      </c>
      <c r="K835" s="4">
        <v>-1.6203890000000001</v>
      </c>
      <c r="L835" s="4">
        <v>-1.120058</v>
      </c>
      <c r="M835" s="4">
        <v>0.88245200000000001</v>
      </c>
      <c r="N835" s="4">
        <v>2.6261459999999999</v>
      </c>
      <c r="O835" s="4">
        <v>-0.29206799999999999</v>
      </c>
      <c r="P835" s="4">
        <v>1.2028829999999999</v>
      </c>
      <c r="Q835" s="4">
        <v>0.79119700000000004</v>
      </c>
      <c r="R835" s="4">
        <v>0.70590299999999995</v>
      </c>
      <c r="S835" s="4">
        <v>0.91080000000000005</v>
      </c>
      <c r="T835" s="4">
        <v>-0.289989</v>
      </c>
    </row>
    <row r="836" spans="1:20" ht="18">
      <c r="A836" s="2">
        <f t="shared" si="109"/>
        <v>835</v>
      </c>
      <c r="B836" s="7" t="s">
        <v>1056</v>
      </c>
      <c r="I836" s="15" t="s">
        <v>854</v>
      </c>
      <c r="J836" s="15">
        <v>834</v>
      </c>
      <c r="K836" s="4">
        <v>-1.9255599999999999</v>
      </c>
      <c r="L836" s="4">
        <v>-0.85763500000000004</v>
      </c>
      <c r="M836" s="4">
        <v>0.84858699999999998</v>
      </c>
      <c r="N836" s="4">
        <v>7.7869999999999997E-3</v>
      </c>
      <c r="O836" s="4">
        <v>-1.6262270000000001</v>
      </c>
      <c r="P836" s="4">
        <v>-0.30860799999999999</v>
      </c>
      <c r="Q836" s="4">
        <v>1.004076</v>
      </c>
      <c r="R836" s="4">
        <v>-1.5995470000000001</v>
      </c>
      <c r="S836" s="4">
        <v>0.10959099999999999</v>
      </c>
      <c r="T836" s="4">
        <v>0.62660099999999996</v>
      </c>
    </row>
    <row r="837" spans="1:20" ht="18">
      <c r="A837" s="2">
        <f t="shared" si="109"/>
        <v>836</v>
      </c>
      <c r="B837" s="7" t="s">
        <v>1057</v>
      </c>
      <c r="I837" s="15" t="s">
        <v>855</v>
      </c>
      <c r="J837" s="15">
        <v>835</v>
      </c>
      <c r="K837" s="4">
        <v>0.89293</v>
      </c>
      <c r="L837" s="4">
        <v>0.28179399999999999</v>
      </c>
      <c r="M837" s="4">
        <v>0.77134899999999995</v>
      </c>
      <c r="N837" s="4">
        <v>-0.93111500000000003</v>
      </c>
      <c r="O837" s="4">
        <v>1.7394799999999999</v>
      </c>
      <c r="P837" s="4">
        <v>-4.0822999999999998E-2</v>
      </c>
      <c r="Q837" s="4">
        <v>-0.11150500000000001</v>
      </c>
      <c r="R837" s="4">
        <v>-1.375534</v>
      </c>
      <c r="S837" s="4">
        <v>-0.92729600000000001</v>
      </c>
      <c r="T837" s="4">
        <v>0.48564499999999999</v>
      </c>
    </row>
    <row r="838" spans="1:20" ht="18">
      <c r="A838" s="2">
        <f t="shared" si="109"/>
        <v>837</v>
      </c>
      <c r="B838" s="7" t="s">
        <v>1058</v>
      </c>
      <c r="I838" s="15" t="s">
        <v>856</v>
      </c>
      <c r="J838" s="15">
        <v>836</v>
      </c>
      <c r="K838" s="4">
        <v>1.1104560000000001</v>
      </c>
      <c r="L838" s="4">
        <v>0.56378700000000004</v>
      </c>
      <c r="M838" s="4">
        <v>0.51469399999999998</v>
      </c>
      <c r="N838" s="4">
        <v>0.82789299999999999</v>
      </c>
      <c r="O838" s="4">
        <v>0.34348499999999998</v>
      </c>
      <c r="P838" s="4">
        <v>-1.784791</v>
      </c>
      <c r="Q838" s="4">
        <v>1.2227539999999999</v>
      </c>
      <c r="R838" s="4">
        <v>0.25217600000000001</v>
      </c>
      <c r="S838" s="4">
        <v>7.5534000000000004E-2</v>
      </c>
      <c r="T838" s="4">
        <v>0.79539899999999997</v>
      </c>
    </row>
    <row r="839" spans="1:20" ht="18">
      <c r="A839" s="2">
        <f t="shared" si="109"/>
        <v>838</v>
      </c>
      <c r="B839" s="7" t="s">
        <v>1059</v>
      </c>
      <c r="I839" s="15" t="s">
        <v>857</v>
      </c>
      <c r="J839" s="15">
        <v>837</v>
      </c>
      <c r="K839" s="4">
        <v>-0.75638399999999995</v>
      </c>
      <c r="L839" s="4">
        <v>2.1266539999999998</v>
      </c>
      <c r="M839" s="4">
        <v>-0.26143699999999997</v>
      </c>
      <c r="N839" s="4">
        <v>-0.20713100000000001</v>
      </c>
      <c r="O839" s="4">
        <v>-1.913599</v>
      </c>
      <c r="P839" s="4">
        <v>-1.536484</v>
      </c>
      <c r="Q839" s="4">
        <v>-4.8226999999999999E-2</v>
      </c>
      <c r="R839" s="4">
        <v>-0.39969199999999999</v>
      </c>
      <c r="S839" s="4">
        <v>-0.62317400000000001</v>
      </c>
      <c r="T839" s="4">
        <v>-0.45419500000000002</v>
      </c>
    </row>
    <row r="840" spans="1:20" ht="18">
      <c r="A840" s="2">
        <f t="shared" si="109"/>
        <v>839</v>
      </c>
      <c r="B840" s="7" t="s">
        <v>1060</v>
      </c>
      <c r="I840" s="15" t="s">
        <v>858</v>
      </c>
      <c r="J840" s="15">
        <v>838</v>
      </c>
      <c r="K840" s="4">
        <v>-0.84986499999999998</v>
      </c>
      <c r="L840" s="4">
        <v>-0.41584199999999999</v>
      </c>
      <c r="M840" s="4">
        <v>1.9285699999999999</v>
      </c>
      <c r="N840" s="4">
        <v>-0.47344900000000001</v>
      </c>
      <c r="O840" s="4">
        <v>0.303004</v>
      </c>
      <c r="P840" s="4">
        <v>0.92467500000000002</v>
      </c>
      <c r="Q840" s="4">
        <v>1.7648010000000001</v>
      </c>
      <c r="R840" s="4">
        <v>-0.148644</v>
      </c>
      <c r="S840" s="4">
        <v>0.16075400000000001</v>
      </c>
      <c r="T840" s="4">
        <v>-0.32461699999999999</v>
      </c>
    </row>
    <row r="841" spans="1:20" ht="18">
      <c r="A841" s="2">
        <f t="shared" si="109"/>
        <v>840</v>
      </c>
      <c r="B841" s="7" t="s">
        <v>1061</v>
      </c>
      <c r="I841" s="15" t="s">
        <v>859</v>
      </c>
      <c r="J841" s="15">
        <v>839</v>
      </c>
      <c r="K841" s="4">
        <v>0.20100499999999999</v>
      </c>
      <c r="L841" s="4">
        <v>-1.788497</v>
      </c>
      <c r="M841" s="4">
        <v>-0.95754799999999995</v>
      </c>
      <c r="N841" s="4">
        <v>-0.252274</v>
      </c>
      <c r="O841" s="4">
        <v>2.0327160000000002</v>
      </c>
      <c r="P841" s="4">
        <v>1.631435</v>
      </c>
      <c r="Q841" s="4">
        <v>0.46478799999999998</v>
      </c>
      <c r="R841" s="4">
        <v>0.43367600000000001</v>
      </c>
      <c r="S841" s="4">
        <v>0.581654</v>
      </c>
      <c r="T841" s="4">
        <v>-2.1717970000000002</v>
      </c>
    </row>
    <row r="842" spans="1:20" ht="18">
      <c r="A842" s="2">
        <f t="shared" si="109"/>
        <v>841</v>
      </c>
      <c r="B842" s="7" t="s">
        <v>1062</v>
      </c>
      <c r="I842" s="15" t="s">
        <v>860</v>
      </c>
      <c r="J842" s="15">
        <v>840</v>
      </c>
      <c r="K842" s="4">
        <v>-0.35114000000000001</v>
      </c>
      <c r="L842" s="4">
        <v>0.53164900000000004</v>
      </c>
      <c r="M842" s="4">
        <v>-0.470974</v>
      </c>
      <c r="N842" s="4">
        <v>0.54369500000000004</v>
      </c>
      <c r="O842" s="4">
        <v>-0.58320499999999997</v>
      </c>
      <c r="P842" s="4">
        <v>0.118827</v>
      </c>
      <c r="Q842" s="4">
        <v>-0.872784</v>
      </c>
      <c r="R842" s="4">
        <v>0.44842599999999999</v>
      </c>
      <c r="S842" s="4">
        <v>-0.76433799999999996</v>
      </c>
      <c r="T842" s="4">
        <v>0.54578199999999999</v>
      </c>
    </row>
    <row r="843" spans="1:20" ht="18">
      <c r="A843" s="2">
        <f t="shared" si="109"/>
        <v>842</v>
      </c>
      <c r="B843" s="7" t="s">
        <v>1063</v>
      </c>
      <c r="I843" s="15" t="s">
        <v>861</v>
      </c>
      <c r="J843" s="15">
        <v>841</v>
      </c>
      <c r="K843" s="4">
        <v>1.2524200000000001</v>
      </c>
      <c r="L843" s="4">
        <v>-1.0468500000000001</v>
      </c>
      <c r="M843" s="4">
        <v>-0.20183699999999999</v>
      </c>
      <c r="N843" s="4">
        <v>-9.7280000000000005E-2</v>
      </c>
      <c r="O843" s="4">
        <v>0.70348900000000003</v>
      </c>
      <c r="P843" s="4">
        <v>-1.504097</v>
      </c>
      <c r="Q843" s="4">
        <v>0.97461900000000001</v>
      </c>
      <c r="R843" s="4">
        <v>0.85234900000000002</v>
      </c>
      <c r="S843" s="4">
        <v>0.49303799999999998</v>
      </c>
      <c r="T843" s="4">
        <v>-1.1316059999999999</v>
      </c>
    </row>
    <row r="844" spans="1:20" ht="18">
      <c r="A844" s="2">
        <f t="shared" si="109"/>
        <v>843</v>
      </c>
      <c r="B844" s="7" t="s">
        <v>1064</v>
      </c>
      <c r="I844" s="15" t="s">
        <v>862</v>
      </c>
      <c r="J844" s="15">
        <v>842</v>
      </c>
      <c r="K844" s="4">
        <v>2.0533589999999999</v>
      </c>
      <c r="L844" s="4">
        <v>-1.321248</v>
      </c>
      <c r="M844" s="4">
        <v>-0.30276199999999998</v>
      </c>
      <c r="N844" s="4">
        <v>0.381077</v>
      </c>
      <c r="O844" s="4">
        <v>1.597799</v>
      </c>
      <c r="P844" s="4">
        <v>-0.75114400000000003</v>
      </c>
      <c r="Q844" s="4">
        <v>-1.46637</v>
      </c>
      <c r="R844" s="4">
        <v>-0.59470900000000004</v>
      </c>
      <c r="S844" s="4">
        <v>-0.54322099999999995</v>
      </c>
      <c r="T844" s="4">
        <v>-0.35000199999999998</v>
      </c>
    </row>
    <row r="845" spans="1:20" ht="18">
      <c r="A845" s="2">
        <f t="shared" si="109"/>
        <v>844</v>
      </c>
      <c r="B845" s="7" t="s">
        <v>1065</v>
      </c>
      <c r="I845" s="15" t="s">
        <v>863</v>
      </c>
      <c r="J845" s="15">
        <v>843</v>
      </c>
      <c r="K845" s="4">
        <v>0.20571</v>
      </c>
      <c r="L845" s="4">
        <v>-3.6172999999999997E-2</v>
      </c>
      <c r="M845" s="4">
        <v>-0.41134900000000002</v>
      </c>
      <c r="N845" s="4">
        <v>-1.969179</v>
      </c>
      <c r="O845" s="4">
        <v>0.31226900000000002</v>
      </c>
      <c r="P845" s="4">
        <v>0.64064100000000002</v>
      </c>
      <c r="Q845" s="4">
        <v>-0.70221199999999995</v>
      </c>
      <c r="R845" s="4">
        <v>-0.248836</v>
      </c>
      <c r="S845" s="4">
        <v>-0.35646899999999998</v>
      </c>
      <c r="T845" s="4">
        <v>0.53060499999999999</v>
      </c>
    </row>
    <row r="846" spans="1:20" ht="18">
      <c r="A846" s="2">
        <f t="shared" si="109"/>
        <v>845</v>
      </c>
      <c r="B846" s="7" t="s">
        <v>1066</v>
      </c>
      <c r="I846" s="15" t="s">
        <v>864</v>
      </c>
      <c r="J846" s="15">
        <v>844</v>
      </c>
      <c r="K846" s="4">
        <v>0.63213799999999998</v>
      </c>
      <c r="L846" s="4">
        <v>0.20790800000000001</v>
      </c>
      <c r="M846" s="4">
        <v>-1.5226729999999999</v>
      </c>
      <c r="N846" s="4">
        <v>1.5672619999999999</v>
      </c>
      <c r="O846" s="4">
        <v>1.248245</v>
      </c>
      <c r="P846" s="4">
        <v>-0.17635400000000001</v>
      </c>
      <c r="Q846" s="4">
        <v>7.034E-2</v>
      </c>
      <c r="R846" s="4">
        <v>0.76599899999999999</v>
      </c>
      <c r="S846" s="4">
        <v>-0.30185400000000001</v>
      </c>
      <c r="T846" s="4">
        <v>1.4760489999999999</v>
      </c>
    </row>
    <row r="847" spans="1:20" ht="18">
      <c r="A847" s="2">
        <f t="shared" si="109"/>
        <v>846</v>
      </c>
      <c r="B847" s="7" t="s">
        <v>1067</v>
      </c>
      <c r="I847" s="15" t="s">
        <v>865</v>
      </c>
      <c r="J847" s="15">
        <v>845</v>
      </c>
      <c r="K847" s="4">
        <v>1.122314</v>
      </c>
      <c r="L847" s="4">
        <v>-0.38558999999999999</v>
      </c>
      <c r="M847" s="4">
        <v>-0.37432799999999999</v>
      </c>
      <c r="N847" s="4">
        <v>-3.3776E-2</v>
      </c>
      <c r="O847" s="4">
        <v>-0.50805400000000001</v>
      </c>
      <c r="P847" s="4">
        <v>9.2305999999999999E-2</v>
      </c>
      <c r="Q847" s="4">
        <v>-0.115241</v>
      </c>
      <c r="R847" s="4">
        <v>0.58160000000000001</v>
      </c>
      <c r="S847" s="4">
        <v>-0.41874400000000001</v>
      </c>
      <c r="T847" s="4">
        <v>0.27152599999999999</v>
      </c>
    </row>
    <row r="848" spans="1:20" ht="18">
      <c r="A848" s="2">
        <f t="shared" si="109"/>
        <v>847</v>
      </c>
      <c r="B848" s="7" t="s">
        <v>1068</v>
      </c>
      <c r="I848" s="15" t="s">
        <v>866</v>
      </c>
      <c r="J848" s="15">
        <v>846</v>
      </c>
      <c r="K848" s="4">
        <v>0.57243200000000005</v>
      </c>
      <c r="L848" s="4">
        <v>0.67950299999999997</v>
      </c>
      <c r="M848" s="4">
        <v>0.49609900000000001</v>
      </c>
      <c r="N848" s="4">
        <v>-1.404609</v>
      </c>
      <c r="O848" s="4">
        <v>-0.24104</v>
      </c>
      <c r="P848" s="4">
        <v>0.80359800000000003</v>
      </c>
      <c r="Q848" s="4">
        <v>0.13461600000000001</v>
      </c>
      <c r="R848" s="4">
        <v>-1.0738719999999999</v>
      </c>
      <c r="S848" s="4">
        <v>-0.50695699999999999</v>
      </c>
      <c r="T848" s="4">
        <v>-0.23292099999999999</v>
      </c>
    </row>
    <row r="849" spans="1:20" ht="18">
      <c r="A849" s="2">
        <f t="shared" si="109"/>
        <v>848</v>
      </c>
      <c r="B849" s="7" t="s">
        <v>1069</v>
      </c>
      <c r="I849" s="15" t="s">
        <v>867</v>
      </c>
      <c r="J849" s="15">
        <v>847</v>
      </c>
      <c r="K849" s="4">
        <v>-0.66725900000000005</v>
      </c>
      <c r="L849" s="4">
        <v>-0.69712300000000005</v>
      </c>
      <c r="M849" s="4">
        <v>-7.3763999999999996E-2</v>
      </c>
      <c r="N849" s="4">
        <v>-0.80304699999999996</v>
      </c>
      <c r="O849" s="4">
        <v>-1.1944669999999999</v>
      </c>
      <c r="P849" s="4">
        <v>1.246675</v>
      </c>
      <c r="Q849" s="4">
        <v>-1.853872</v>
      </c>
      <c r="R849" s="4">
        <v>-0.65320100000000003</v>
      </c>
      <c r="S849" s="4">
        <v>-0.59074000000000004</v>
      </c>
      <c r="T849" s="4">
        <v>-8.2114999999999994E-2</v>
      </c>
    </row>
    <row r="850" spans="1:20" ht="18">
      <c r="A850" s="2">
        <f t="shared" si="109"/>
        <v>849</v>
      </c>
      <c r="B850" s="7" t="s">
        <v>1070</v>
      </c>
      <c r="I850" s="15" t="s">
        <v>868</v>
      </c>
      <c r="J850" s="15">
        <v>848</v>
      </c>
      <c r="K850" s="4">
        <v>0.31390600000000002</v>
      </c>
      <c r="L850" s="4">
        <v>-3.1213999999999999E-2</v>
      </c>
      <c r="M850" s="4">
        <v>1.166005</v>
      </c>
      <c r="N850" s="4">
        <v>-1.280354</v>
      </c>
      <c r="O850" s="4">
        <v>0.872143</v>
      </c>
      <c r="P850" s="4">
        <v>0.85001499999999997</v>
      </c>
      <c r="Q850" s="4">
        <v>1.410121</v>
      </c>
      <c r="R850" s="4">
        <v>1.011155</v>
      </c>
      <c r="S850" s="4">
        <v>-0.59186799999999995</v>
      </c>
      <c r="T850" s="4">
        <v>-0.29254200000000002</v>
      </c>
    </row>
    <row r="851" spans="1:20">
      <c r="A851" s="2">
        <f t="shared" si="109"/>
        <v>850</v>
      </c>
      <c r="B851" s="7" t="s">
        <v>1071</v>
      </c>
      <c r="K851" s="4"/>
      <c r="L851" s="4"/>
      <c r="M851" s="4"/>
      <c r="N851" s="4"/>
      <c r="O851" s="4"/>
      <c r="P851" s="4"/>
      <c r="Q851" s="4"/>
      <c r="R851" s="4"/>
      <c r="S851" s="4"/>
      <c r="T851" s="4"/>
    </row>
    <row r="852" spans="1:20">
      <c r="A852" s="2">
        <f t="shared" si="109"/>
        <v>851</v>
      </c>
      <c r="B852" s="7" t="s">
        <v>1072</v>
      </c>
      <c r="K852" s="4"/>
      <c r="L852" s="4"/>
      <c r="M852" s="4"/>
      <c r="N852" s="4"/>
      <c r="O852" s="4"/>
      <c r="P852" s="4"/>
      <c r="Q852" s="4"/>
      <c r="R852" s="4"/>
      <c r="S852" s="4"/>
      <c r="T852" s="4"/>
    </row>
    <row r="853" spans="1:20">
      <c r="A853" s="2">
        <f t="shared" si="109"/>
        <v>852</v>
      </c>
      <c r="B853" s="7" t="s">
        <v>1073</v>
      </c>
      <c r="K853" s="4"/>
      <c r="L853" s="4"/>
      <c r="M853" s="4"/>
      <c r="N853" s="4"/>
      <c r="O853" s="4"/>
      <c r="P853" s="4"/>
      <c r="Q853" s="4"/>
      <c r="R853" s="4"/>
      <c r="S853" s="4"/>
      <c r="T853" s="4"/>
    </row>
    <row r="854" spans="1:20">
      <c r="A854" s="2">
        <f t="shared" si="109"/>
        <v>853</v>
      </c>
      <c r="B854" s="7" t="s">
        <v>1074</v>
      </c>
      <c r="K854" s="4"/>
      <c r="L854" s="4"/>
      <c r="M854" s="4"/>
      <c r="N854" s="4"/>
      <c r="O854" s="4"/>
      <c r="P854" s="4"/>
      <c r="Q854" s="4"/>
      <c r="R854" s="4"/>
      <c r="S854" s="4"/>
      <c r="T854" s="4"/>
    </row>
    <row r="855" spans="1:20">
      <c r="A855" s="2">
        <f t="shared" si="109"/>
        <v>854</v>
      </c>
      <c r="B855" s="7" t="s">
        <v>1075</v>
      </c>
      <c r="K855" s="4"/>
      <c r="L855" s="4"/>
      <c r="M855" s="4"/>
      <c r="N855" s="4"/>
      <c r="O855" s="4"/>
      <c r="P855" s="4"/>
      <c r="Q855" s="4"/>
      <c r="R855" s="4"/>
      <c r="S855" s="4"/>
      <c r="T855" s="4"/>
    </row>
    <row r="856" spans="1:20">
      <c r="A856" s="2">
        <f t="shared" si="109"/>
        <v>855</v>
      </c>
      <c r="B856" s="7" t="s">
        <v>1076</v>
      </c>
      <c r="K856" s="4"/>
      <c r="L856" s="4"/>
      <c r="M856" s="4"/>
      <c r="N856" s="4"/>
      <c r="O856" s="4"/>
      <c r="P856" s="4"/>
      <c r="Q856" s="4"/>
      <c r="R856" s="4"/>
      <c r="S856" s="4"/>
      <c r="T856" s="4"/>
    </row>
    <row r="857" spans="1:20">
      <c r="A857" s="2">
        <f t="shared" si="109"/>
        <v>856</v>
      </c>
      <c r="B857" s="7" t="s">
        <v>1077</v>
      </c>
      <c r="K857" s="4"/>
      <c r="L857" s="4"/>
      <c r="M857" s="4"/>
      <c r="N857" s="4"/>
      <c r="O857" s="4"/>
      <c r="P857" s="4"/>
      <c r="Q857" s="4"/>
      <c r="R857" s="4"/>
      <c r="S857" s="4"/>
      <c r="T857" s="4"/>
    </row>
    <row r="858" spans="1:20">
      <c r="A858" s="2">
        <f t="shared" si="109"/>
        <v>857</v>
      </c>
      <c r="B858" s="7" t="s">
        <v>1078</v>
      </c>
      <c r="K858" s="4"/>
      <c r="L858" s="4"/>
      <c r="M858" s="4"/>
      <c r="N858" s="4"/>
      <c r="O858" s="4"/>
      <c r="P858" s="4"/>
      <c r="Q858" s="4"/>
      <c r="R858" s="4"/>
      <c r="S858" s="4"/>
      <c r="T858" s="4"/>
    </row>
    <row r="859" spans="1:20">
      <c r="A859" s="2">
        <f t="shared" si="109"/>
        <v>858</v>
      </c>
      <c r="B859" s="7" t="s">
        <v>1079</v>
      </c>
      <c r="K859" s="4"/>
      <c r="L859" s="4"/>
      <c r="M859" s="4"/>
      <c r="N859" s="4"/>
      <c r="O859" s="4"/>
      <c r="P859" s="4"/>
      <c r="Q859" s="4"/>
      <c r="R859" s="4"/>
      <c r="S859" s="4"/>
      <c r="T859" s="4"/>
    </row>
    <row r="860" spans="1:20">
      <c r="A860" s="2">
        <f t="shared" si="109"/>
        <v>859</v>
      </c>
      <c r="B860" s="7" t="s">
        <v>1080</v>
      </c>
      <c r="K860" s="4"/>
      <c r="L860" s="4"/>
      <c r="M860" s="4"/>
      <c r="N860" s="4"/>
      <c r="O860" s="4"/>
      <c r="P860" s="4"/>
      <c r="Q860" s="4"/>
      <c r="R860" s="4"/>
      <c r="S860" s="4"/>
      <c r="T860" s="4"/>
    </row>
    <row r="861" spans="1:20">
      <c r="A861" s="2">
        <f t="shared" si="109"/>
        <v>860</v>
      </c>
      <c r="B861" s="7" t="s">
        <v>1081</v>
      </c>
      <c r="K861" s="4"/>
      <c r="L861" s="4"/>
      <c r="M861" s="4"/>
      <c r="N861" s="4"/>
      <c r="O861" s="4"/>
      <c r="P861" s="4"/>
      <c r="Q861" s="4"/>
      <c r="R861" s="4"/>
      <c r="S861" s="4"/>
      <c r="T861" s="4"/>
    </row>
    <row r="862" spans="1:20">
      <c r="A862" s="2">
        <f t="shared" si="109"/>
        <v>861</v>
      </c>
      <c r="B862" s="7" t="s">
        <v>1082</v>
      </c>
      <c r="K862" s="4"/>
      <c r="L862" s="4"/>
      <c r="M862" s="4"/>
      <c r="N862" s="4"/>
      <c r="O862" s="4"/>
      <c r="P862" s="4"/>
      <c r="Q862" s="4"/>
      <c r="R862" s="4"/>
      <c r="S862" s="4"/>
      <c r="T862" s="4"/>
    </row>
    <row r="863" spans="1:20">
      <c r="A863" s="2">
        <f t="shared" si="109"/>
        <v>862</v>
      </c>
      <c r="B863" s="7" t="s">
        <v>1083</v>
      </c>
      <c r="K863" s="4"/>
      <c r="L863" s="4"/>
      <c r="M863" s="4"/>
      <c r="N863" s="4"/>
      <c r="O863" s="4"/>
      <c r="P863" s="4"/>
      <c r="Q863" s="4"/>
      <c r="R863" s="4"/>
      <c r="S863" s="4"/>
      <c r="T863" s="4"/>
    </row>
    <row r="864" spans="1:20">
      <c r="A864" s="2">
        <f t="shared" si="109"/>
        <v>863</v>
      </c>
      <c r="B864" s="7" t="s">
        <v>1084</v>
      </c>
      <c r="K864" s="4"/>
      <c r="L864" s="4"/>
      <c r="M864" s="4"/>
      <c r="N864" s="4"/>
      <c r="O864" s="4"/>
      <c r="P864" s="4"/>
      <c r="Q864" s="4"/>
      <c r="R864" s="4"/>
      <c r="S864" s="4"/>
      <c r="T864" s="4"/>
    </row>
    <row r="865" spans="1:20">
      <c r="A865" s="2">
        <f t="shared" si="109"/>
        <v>864</v>
      </c>
      <c r="B865" s="7" t="s">
        <v>1085</v>
      </c>
      <c r="K865" s="4"/>
      <c r="L865" s="4"/>
      <c r="M865" s="4"/>
      <c r="N865" s="4"/>
      <c r="O865" s="4"/>
      <c r="P865" s="4"/>
      <c r="Q865" s="4"/>
      <c r="R865" s="4"/>
      <c r="S865" s="4"/>
      <c r="T865" s="4"/>
    </row>
    <row r="866" spans="1:20">
      <c r="A866" s="2">
        <f t="shared" si="109"/>
        <v>865</v>
      </c>
      <c r="B866" s="7" t="s">
        <v>1086</v>
      </c>
      <c r="K866" s="4"/>
      <c r="L866" s="4"/>
      <c r="M866" s="4"/>
      <c r="N866" s="4"/>
      <c r="O866" s="4"/>
      <c r="P866" s="4"/>
      <c r="Q866" s="4"/>
      <c r="R866" s="4"/>
      <c r="S866" s="4"/>
      <c r="T866" s="4"/>
    </row>
    <row r="867" spans="1:20">
      <c r="A867" s="2">
        <f t="shared" si="109"/>
        <v>866</v>
      </c>
      <c r="B867" s="7" t="s">
        <v>1087</v>
      </c>
      <c r="K867" s="4"/>
      <c r="L867" s="4"/>
      <c r="M867" s="4"/>
      <c r="N867" s="4"/>
      <c r="O867" s="4"/>
      <c r="P867" s="4"/>
      <c r="Q867" s="4"/>
      <c r="R867" s="4"/>
      <c r="S867" s="4"/>
      <c r="T867" s="4"/>
    </row>
    <row r="868" spans="1:20">
      <c r="A868" s="2">
        <f t="shared" si="109"/>
        <v>867</v>
      </c>
      <c r="B868" s="7" t="s">
        <v>1088</v>
      </c>
      <c r="K868" s="4"/>
      <c r="L868" s="4"/>
      <c r="M868" s="4"/>
      <c r="N868" s="4"/>
      <c r="O868" s="4"/>
      <c r="P868" s="4"/>
      <c r="Q868" s="4"/>
      <c r="R868" s="4"/>
      <c r="S868" s="4"/>
      <c r="T868" s="4"/>
    </row>
    <row r="869" spans="1:20">
      <c r="A869" s="2">
        <f t="shared" si="109"/>
        <v>868</v>
      </c>
      <c r="B869" s="7" t="s">
        <v>1089</v>
      </c>
      <c r="K869" s="4"/>
      <c r="L869" s="4"/>
      <c r="M869" s="4"/>
      <c r="N869" s="4"/>
      <c r="O869" s="4"/>
      <c r="P869" s="4"/>
      <c r="Q869" s="4"/>
      <c r="R869" s="4"/>
      <c r="S869" s="4"/>
      <c r="T869" s="4"/>
    </row>
    <row r="870" spans="1:20">
      <c r="A870" s="2">
        <f t="shared" si="109"/>
        <v>869</v>
      </c>
      <c r="B870" s="7" t="s">
        <v>1090</v>
      </c>
      <c r="K870" s="4"/>
      <c r="L870" s="4"/>
      <c r="M870" s="4"/>
      <c r="N870" s="4"/>
      <c r="O870" s="4"/>
      <c r="P870" s="4"/>
      <c r="Q870" s="4"/>
      <c r="R870" s="4"/>
      <c r="S870" s="4"/>
      <c r="T870" s="4"/>
    </row>
    <row r="871" spans="1:20">
      <c r="A871" s="2">
        <f t="shared" si="109"/>
        <v>870</v>
      </c>
      <c r="B871" s="7" t="s">
        <v>1091</v>
      </c>
      <c r="K871" s="4"/>
      <c r="L871" s="4"/>
      <c r="M871" s="4"/>
      <c r="N871" s="4"/>
      <c r="O871" s="4"/>
      <c r="P871" s="4"/>
      <c r="Q871" s="4"/>
      <c r="R871" s="4"/>
      <c r="S871" s="4"/>
      <c r="T871" s="4"/>
    </row>
    <row r="872" spans="1:20">
      <c r="A872" s="2">
        <f t="shared" si="109"/>
        <v>871</v>
      </c>
      <c r="B872" s="7" t="s">
        <v>1092</v>
      </c>
      <c r="K872" s="4"/>
      <c r="L872" s="4"/>
      <c r="M872" s="4"/>
      <c r="N872" s="4"/>
      <c r="O872" s="4"/>
      <c r="P872" s="4"/>
      <c r="Q872" s="4"/>
      <c r="R872" s="4"/>
      <c r="S872" s="4"/>
      <c r="T872" s="4"/>
    </row>
    <row r="873" spans="1:20">
      <c r="A873" s="2">
        <f t="shared" si="109"/>
        <v>872</v>
      </c>
      <c r="B873" s="7" t="s">
        <v>1093</v>
      </c>
      <c r="K873" s="4"/>
      <c r="L873" s="4"/>
      <c r="M873" s="4"/>
      <c r="N873" s="4"/>
      <c r="O873" s="4"/>
      <c r="P873" s="4"/>
      <c r="Q873" s="4"/>
      <c r="R873" s="4"/>
      <c r="S873" s="4"/>
      <c r="T873" s="4"/>
    </row>
    <row r="874" spans="1:20">
      <c r="A874" s="2">
        <f t="shared" si="109"/>
        <v>873</v>
      </c>
      <c r="B874" s="7" t="s">
        <v>1094</v>
      </c>
      <c r="K874" s="4"/>
      <c r="L874" s="4"/>
      <c r="M874" s="4"/>
      <c r="N874" s="4"/>
      <c r="O874" s="4"/>
      <c r="P874" s="4"/>
      <c r="Q874" s="4"/>
      <c r="R874" s="4"/>
      <c r="S874" s="4"/>
      <c r="T874" s="4"/>
    </row>
    <row r="875" spans="1:20">
      <c r="A875" s="2">
        <f t="shared" si="109"/>
        <v>874</v>
      </c>
      <c r="B875" s="7" t="s">
        <v>1095</v>
      </c>
      <c r="K875" s="4"/>
      <c r="L875" s="4"/>
      <c r="M875" s="4"/>
      <c r="N875" s="4"/>
      <c r="O875" s="4"/>
      <c r="P875" s="4"/>
      <c r="Q875" s="4"/>
      <c r="R875" s="4"/>
      <c r="S875" s="4"/>
      <c r="T875" s="4"/>
    </row>
    <row r="876" spans="1:20">
      <c r="A876" s="2">
        <f t="shared" si="109"/>
        <v>875</v>
      </c>
      <c r="B876" s="7" t="s">
        <v>1096</v>
      </c>
      <c r="K876" s="4"/>
      <c r="L876" s="4"/>
      <c r="M876" s="4"/>
      <c r="N876" s="4"/>
      <c r="O876" s="4"/>
      <c r="P876" s="4"/>
      <c r="Q876" s="4"/>
      <c r="R876" s="4"/>
      <c r="S876" s="4"/>
      <c r="T876" s="4"/>
    </row>
    <row r="877" spans="1:20">
      <c r="A877" s="2">
        <f t="shared" si="109"/>
        <v>876</v>
      </c>
      <c r="B877" s="7" t="s">
        <v>1097</v>
      </c>
      <c r="K877" s="4"/>
      <c r="L877" s="4"/>
      <c r="M877" s="4"/>
      <c r="N877" s="4"/>
      <c r="O877" s="4"/>
      <c r="P877" s="4"/>
      <c r="Q877" s="4"/>
      <c r="R877" s="4"/>
      <c r="S877" s="4"/>
      <c r="T877" s="4"/>
    </row>
    <row r="878" spans="1:20">
      <c r="A878" s="2">
        <f t="shared" si="109"/>
        <v>877</v>
      </c>
      <c r="B878" s="7" t="s">
        <v>1098</v>
      </c>
      <c r="K878" s="4"/>
      <c r="L878" s="4"/>
      <c r="M878" s="4"/>
      <c r="N878" s="4"/>
      <c r="O878" s="4"/>
      <c r="P878" s="4"/>
      <c r="Q878" s="4"/>
      <c r="R878" s="4"/>
      <c r="S878" s="4"/>
      <c r="T878" s="4"/>
    </row>
    <row r="879" spans="1:20">
      <c r="A879" s="2">
        <f t="shared" si="109"/>
        <v>878</v>
      </c>
      <c r="B879" s="7" t="s">
        <v>1099</v>
      </c>
      <c r="K879" s="4"/>
      <c r="L879" s="4"/>
      <c r="M879" s="4"/>
      <c r="N879" s="4"/>
      <c r="O879" s="4"/>
      <c r="P879" s="4"/>
      <c r="Q879" s="4"/>
      <c r="R879" s="4"/>
      <c r="S879" s="4"/>
      <c r="T879" s="4"/>
    </row>
    <row r="880" spans="1:20">
      <c r="A880" s="2">
        <f t="shared" si="109"/>
        <v>879</v>
      </c>
      <c r="B880" s="7" t="s">
        <v>1100</v>
      </c>
      <c r="K880" s="4"/>
      <c r="L880" s="4"/>
      <c r="M880" s="4"/>
      <c r="N880" s="4"/>
      <c r="O880" s="4"/>
      <c r="P880" s="4"/>
      <c r="Q880" s="4"/>
      <c r="R880" s="4"/>
      <c r="S880" s="4"/>
      <c r="T880" s="4"/>
    </row>
    <row r="881" spans="1:20">
      <c r="A881" s="2">
        <f t="shared" si="109"/>
        <v>880</v>
      </c>
      <c r="B881" s="7" t="s">
        <v>1101</v>
      </c>
      <c r="K881" s="4"/>
      <c r="L881" s="4"/>
      <c r="M881" s="4"/>
      <c r="N881" s="4"/>
      <c r="O881" s="4"/>
      <c r="P881" s="4"/>
      <c r="Q881" s="4"/>
      <c r="R881" s="4"/>
      <c r="S881" s="4"/>
      <c r="T881" s="4"/>
    </row>
    <row r="882" spans="1:20">
      <c r="A882" s="2">
        <f t="shared" si="109"/>
        <v>881</v>
      </c>
      <c r="B882" s="7" t="s">
        <v>1102</v>
      </c>
      <c r="K882" s="4"/>
      <c r="L882" s="4"/>
      <c r="M882" s="4"/>
      <c r="N882" s="4"/>
      <c r="O882" s="4"/>
      <c r="P882" s="4"/>
      <c r="Q882" s="4"/>
      <c r="R882" s="4"/>
      <c r="S882" s="4"/>
      <c r="T882" s="4"/>
    </row>
    <row r="883" spans="1:20">
      <c r="A883" s="2">
        <f t="shared" si="109"/>
        <v>882</v>
      </c>
      <c r="B883" s="7" t="s">
        <v>1103</v>
      </c>
      <c r="K883" s="4"/>
      <c r="L883" s="4"/>
      <c r="M883" s="4"/>
      <c r="N883" s="4"/>
      <c r="O883" s="4"/>
      <c r="P883" s="4"/>
      <c r="Q883" s="4"/>
      <c r="R883" s="4"/>
      <c r="S883" s="4"/>
      <c r="T883" s="4"/>
    </row>
    <row r="884" spans="1:20">
      <c r="A884" s="2">
        <f t="shared" si="109"/>
        <v>883</v>
      </c>
      <c r="B884" s="7" t="s">
        <v>1104</v>
      </c>
      <c r="K884" s="4"/>
      <c r="L884" s="4"/>
      <c r="M884" s="4"/>
      <c r="N884" s="4"/>
      <c r="O884" s="4"/>
      <c r="P884" s="4"/>
      <c r="Q884" s="4"/>
      <c r="R884" s="4"/>
      <c r="S884" s="4"/>
      <c r="T884" s="4"/>
    </row>
    <row r="885" spans="1:20">
      <c r="A885" s="2">
        <f t="shared" si="109"/>
        <v>884</v>
      </c>
      <c r="B885" s="7" t="s">
        <v>1105</v>
      </c>
      <c r="K885" s="4"/>
      <c r="L885" s="4"/>
      <c r="M885" s="4"/>
      <c r="N885" s="4"/>
      <c r="O885" s="4"/>
      <c r="P885" s="4"/>
      <c r="Q885" s="4"/>
      <c r="R885" s="4"/>
      <c r="S885" s="4"/>
      <c r="T885" s="4"/>
    </row>
    <row r="886" spans="1:20">
      <c r="A886" s="2">
        <f t="shared" si="109"/>
        <v>885</v>
      </c>
      <c r="B886" s="7" t="s">
        <v>1106</v>
      </c>
      <c r="K886" s="4"/>
      <c r="L886" s="4"/>
      <c r="M886" s="4"/>
      <c r="N886" s="4"/>
      <c r="O886" s="4"/>
      <c r="P886" s="4"/>
      <c r="Q886" s="4"/>
      <c r="R886" s="4"/>
      <c r="S886" s="4"/>
      <c r="T886" s="4"/>
    </row>
    <row r="887" spans="1:20">
      <c r="A887" s="2">
        <f t="shared" si="109"/>
        <v>886</v>
      </c>
      <c r="B887" s="7" t="s">
        <v>1107</v>
      </c>
      <c r="K887" s="4"/>
      <c r="L887" s="4"/>
      <c r="M887" s="4"/>
      <c r="N887" s="4"/>
      <c r="O887" s="4"/>
      <c r="P887" s="4"/>
      <c r="Q887" s="4"/>
      <c r="R887" s="4"/>
      <c r="S887" s="4"/>
      <c r="T887" s="4"/>
    </row>
    <row r="888" spans="1:20">
      <c r="A888" s="2">
        <f t="shared" si="109"/>
        <v>887</v>
      </c>
      <c r="B888" s="7" t="s">
        <v>1108</v>
      </c>
      <c r="K888" s="4"/>
      <c r="L888" s="4"/>
      <c r="M888" s="4"/>
      <c r="N888" s="4"/>
      <c r="O888" s="4"/>
      <c r="P888" s="4"/>
      <c r="Q888" s="4"/>
      <c r="R888" s="4"/>
      <c r="S888" s="4"/>
      <c r="T888" s="4"/>
    </row>
    <row r="889" spans="1:20">
      <c r="A889" s="2">
        <f t="shared" si="109"/>
        <v>888</v>
      </c>
      <c r="B889" s="7" t="s">
        <v>1109</v>
      </c>
      <c r="K889" s="4"/>
      <c r="L889" s="4"/>
      <c r="M889" s="4"/>
      <c r="N889" s="4"/>
      <c r="O889" s="4"/>
      <c r="P889" s="4"/>
      <c r="Q889" s="4"/>
      <c r="R889" s="4"/>
      <c r="S889" s="4"/>
      <c r="T889" s="4"/>
    </row>
    <row r="890" spans="1:20">
      <c r="A890" s="2">
        <f t="shared" si="109"/>
        <v>889</v>
      </c>
      <c r="B890" s="7" t="s">
        <v>1110</v>
      </c>
      <c r="K890" s="4"/>
      <c r="L890" s="4"/>
      <c r="M890" s="4"/>
      <c r="N890" s="4"/>
      <c r="O890" s="4"/>
      <c r="P890" s="4"/>
      <c r="Q890" s="4"/>
      <c r="R890" s="4"/>
      <c r="S890" s="4"/>
      <c r="T890" s="4"/>
    </row>
    <row r="891" spans="1:20">
      <c r="A891" s="2">
        <f t="shared" si="109"/>
        <v>890</v>
      </c>
      <c r="B891" s="7" t="s">
        <v>1111</v>
      </c>
      <c r="K891" s="4"/>
      <c r="L891" s="4"/>
      <c r="M891" s="4"/>
      <c r="N891" s="4"/>
      <c r="O891" s="4"/>
      <c r="P891" s="4"/>
      <c r="Q891" s="4"/>
      <c r="R891" s="4"/>
      <c r="S891" s="4"/>
      <c r="T891" s="4"/>
    </row>
    <row r="892" spans="1:20">
      <c r="A892" s="2">
        <f t="shared" si="109"/>
        <v>891</v>
      </c>
      <c r="B892" s="7" t="s">
        <v>1112</v>
      </c>
      <c r="K892" s="4"/>
      <c r="L892" s="4"/>
      <c r="M892" s="4"/>
      <c r="N892" s="4"/>
      <c r="O892" s="4"/>
      <c r="P892" s="4"/>
      <c r="Q892" s="4"/>
      <c r="R892" s="4"/>
      <c r="S892" s="4"/>
      <c r="T892" s="4"/>
    </row>
    <row r="893" spans="1:20">
      <c r="A893" s="2">
        <f t="shared" si="109"/>
        <v>892</v>
      </c>
      <c r="B893" s="7" t="s">
        <v>1113</v>
      </c>
      <c r="K893" s="4"/>
      <c r="L893" s="4"/>
      <c r="M893" s="4"/>
      <c r="N893" s="4"/>
      <c r="O893" s="4"/>
      <c r="P893" s="4"/>
      <c r="Q893" s="4"/>
      <c r="R893" s="4"/>
      <c r="S893" s="4"/>
      <c r="T893" s="4"/>
    </row>
    <row r="894" spans="1:20">
      <c r="A894" s="2">
        <f t="shared" si="109"/>
        <v>893</v>
      </c>
      <c r="B894" s="7" t="s">
        <v>1114</v>
      </c>
      <c r="K894" s="4"/>
      <c r="L894" s="4"/>
      <c r="M894" s="4"/>
      <c r="N894" s="4"/>
      <c r="O894" s="4"/>
      <c r="P894" s="4"/>
      <c r="Q894" s="4"/>
      <c r="R894" s="4"/>
      <c r="S894" s="4"/>
      <c r="T894" s="4"/>
    </row>
    <row r="895" spans="1:20">
      <c r="A895" s="2">
        <f t="shared" si="109"/>
        <v>894</v>
      </c>
      <c r="B895" s="7" t="s">
        <v>1115</v>
      </c>
      <c r="K895" s="4"/>
      <c r="L895" s="4"/>
      <c r="M895" s="4"/>
      <c r="N895" s="4"/>
      <c r="O895" s="4"/>
      <c r="P895" s="4"/>
      <c r="Q895" s="4"/>
      <c r="R895" s="4"/>
      <c r="S895" s="4"/>
      <c r="T895" s="4"/>
    </row>
    <row r="896" spans="1:20">
      <c r="A896" s="2">
        <f t="shared" si="109"/>
        <v>895</v>
      </c>
      <c r="B896" s="7" t="s">
        <v>1116</v>
      </c>
      <c r="K896" s="4"/>
      <c r="L896" s="4"/>
      <c r="M896" s="4"/>
      <c r="N896" s="4"/>
      <c r="O896" s="4"/>
      <c r="P896" s="4"/>
      <c r="Q896" s="4"/>
      <c r="R896" s="4"/>
      <c r="S896" s="4"/>
      <c r="T896" s="4"/>
    </row>
    <row r="897" spans="1:20">
      <c r="A897" s="2">
        <f t="shared" si="109"/>
        <v>896</v>
      </c>
      <c r="B897" s="7" t="s">
        <v>1117</v>
      </c>
      <c r="K897" s="4"/>
      <c r="L897" s="4"/>
      <c r="M897" s="4"/>
      <c r="N897" s="4"/>
      <c r="O897" s="4"/>
      <c r="P897" s="4"/>
      <c r="Q897" s="4"/>
      <c r="R897" s="4"/>
      <c r="S897" s="4"/>
      <c r="T897" s="4"/>
    </row>
    <row r="898" spans="1:20">
      <c r="A898" s="2">
        <f t="shared" si="109"/>
        <v>897</v>
      </c>
      <c r="B898" s="7" t="s">
        <v>1118</v>
      </c>
      <c r="K898" s="4"/>
      <c r="L898" s="4"/>
      <c r="M898" s="4"/>
      <c r="N898" s="4"/>
      <c r="O898" s="4"/>
      <c r="P898" s="4"/>
      <c r="Q898" s="4"/>
      <c r="R898" s="4"/>
      <c r="S898" s="4"/>
      <c r="T898" s="4"/>
    </row>
    <row r="899" spans="1:20">
      <c r="A899" s="2">
        <f t="shared" ref="A899:A932" si="110">ROW()-1</f>
        <v>898</v>
      </c>
      <c r="B899" s="7" t="s">
        <v>1119</v>
      </c>
      <c r="K899" s="4"/>
      <c r="L899" s="4"/>
      <c r="M899" s="4"/>
      <c r="N899" s="4"/>
      <c r="O899" s="4"/>
      <c r="P899" s="4"/>
      <c r="Q899" s="4"/>
      <c r="R899" s="4"/>
      <c r="S899" s="4"/>
      <c r="T899" s="4"/>
    </row>
    <row r="900" spans="1:20">
      <c r="A900" s="2">
        <f t="shared" si="110"/>
        <v>899</v>
      </c>
      <c r="B900" s="7" t="s">
        <v>1120</v>
      </c>
      <c r="K900" s="4"/>
      <c r="L900" s="4"/>
      <c r="M900" s="4"/>
      <c r="N900" s="4"/>
      <c r="O900" s="4"/>
      <c r="P900" s="4"/>
      <c r="Q900" s="4"/>
      <c r="R900" s="4"/>
      <c r="S900" s="4"/>
      <c r="T900" s="4"/>
    </row>
    <row r="901" spans="1:20">
      <c r="A901" s="2">
        <f t="shared" si="110"/>
        <v>900</v>
      </c>
      <c r="B901" s="7" t="s">
        <v>1121</v>
      </c>
      <c r="K901" s="4"/>
      <c r="L901" s="4"/>
      <c r="M901" s="4"/>
      <c r="N901" s="4"/>
      <c r="O901" s="4"/>
      <c r="P901" s="4"/>
      <c r="Q901" s="4"/>
      <c r="R901" s="4"/>
      <c r="S901" s="4"/>
      <c r="T901" s="4"/>
    </row>
    <row r="902" spans="1:20">
      <c r="A902" s="2">
        <f t="shared" si="110"/>
        <v>901</v>
      </c>
      <c r="B902" s="7" t="s">
        <v>1122</v>
      </c>
      <c r="K902" s="4"/>
      <c r="L902" s="4"/>
      <c r="M902" s="4"/>
      <c r="N902" s="4"/>
      <c r="O902" s="4"/>
      <c r="P902" s="4"/>
      <c r="Q902" s="4"/>
      <c r="R902" s="4"/>
      <c r="S902" s="4"/>
      <c r="T902" s="4"/>
    </row>
    <row r="903" spans="1:20">
      <c r="A903" s="2">
        <f t="shared" si="110"/>
        <v>902</v>
      </c>
      <c r="B903" s="7" t="s">
        <v>1123</v>
      </c>
      <c r="K903" s="4"/>
      <c r="L903" s="4"/>
      <c r="M903" s="4"/>
      <c r="N903" s="4"/>
      <c r="O903" s="4"/>
      <c r="P903" s="4"/>
      <c r="Q903" s="4"/>
      <c r="R903" s="4"/>
      <c r="S903" s="4"/>
      <c r="T903" s="4"/>
    </row>
    <row r="904" spans="1:20">
      <c r="A904" s="2">
        <f t="shared" si="110"/>
        <v>903</v>
      </c>
      <c r="B904" s="7" t="s">
        <v>1124</v>
      </c>
      <c r="K904" s="4"/>
      <c r="L904" s="4"/>
      <c r="M904" s="4"/>
      <c r="N904" s="4"/>
      <c r="O904" s="4"/>
      <c r="P904" s="4"/>
      <c r="Q904" s="4"/>
      <c r="R904" s="4"/>
      <c r="S904" s="4"/>
      <c r="T904" s="4"/>
    </row>
    <row r="905" spans="1:20">
      <c r="A905" s="2">
        <f t="shared" si="110"/>
        <v>904</v>
      </c>
      <c r="B905" s="7" t="s">
        <v>1125</v>
      </c>
      <c r="K905" s="4"/>
      <c r="L905" s="4"/>
      <c r="M905" s="4"/>
      <c r="N905" s="4"/>
      <c r="O905" s="4"/>
      <c r="P905" s="4"/>
      <c r="Q905" s="4"/>
      <c r="R905" s="4"/>
      <c r="S905" s="4"/>
      <c r="T905" s="4"/>
    </row>
    <row r="906" spans="1:20">
      <c r="A906" s="2">
        <f t="shared" si="110"/>
        <v>905</v>
      </c>
      <c r="B906" s="7" t="s">
        <v>1126</v>
      </c>
      <c r="K906" s="4"/>
      <c r="L906" s="4"/>
      <c r="M906" s="4"/>
      <c r="N906" s="4"/>
      <c r="O906" s="4"/>
      <c r="P906" s="4"/>
      <c r="Q906" s="4"/>
      <c r="R906" s="4"/>
      <c r="S906" s="4"/>
      <c r="T906" s="4"/>
    </row>
    <row r="907" spans="1:20">
      <c r="A907" s="2">
        <f t="shared" si="110"/>
        <v>906</v>
      </c>
      <c r="B907" s="7" t="s">
        <v>1127</v>
      </c>
      <c r="K907" s="4"/>
      <c r="L907" s="4"/>
      <c r="M907" s="4"/>
      <c r="N907" s="4"/>
      <c r="O907" s="4"/>
      <c r="P907" s="4"/>
      <c r="Q907" s="4"/>
      <c r="R907" s="4"/>
      <c r="S907" s="4"/>
      <c r="T907" s="4"/>
    </row>
    <row r="908" spans="1:20">
      <c r="A908" s="2">
        <f t="shared" si="110"/>
        <v>907</v>
      </c>
      <c r="B908" s="7" t="s">
        <v>1128</v>
      </c>
      <c r="K908" s="4"/>
      <c r="L908" s="4"/>
      <c r="M908" s="4"/>
      <c r="N908" s="4"/>
      <c r="O908" s="4"/>
      <c r="P908" s="4"/>
      <c r="Q908" s="4"/>
      <c r="R908" s="4"/>
      <c r="S908" s="4"/>
      <c r="T908" s="4"/>
    </row>
    <row r="909" spans="1:20">
      <c r="A909" s="2">
        <f t="shared" si="110"/>
        <v>908</v>
      </c>
      <c r="B909" s="7" t="s">
        <v>1129</v>
      </c>
      <c r="K909" s="4"/>
      <c r="L909" s="4"/>
      <c r="M909" s="4"/>
      <c r="N909" s="4"/>
      <c r="O909" s="4"/>
      <c r="P909" s="4"/>
      <c r="Q909" s="4"/>
      <c r="R909" s="4"/>
      <c r="S909" s="4"/>
      <c r="T909" s="4"/>
    </row>
    <row r="910" spans="1:20">
      <c r="A910" s="2">
        <f t="shared" si="110"/>
        <v>909</v>
      </c>
      <c r="B910" s="7" t="s">
        <v>1130</v>
      </c>
      <c r="K910" s="4"/>
      <c r="L910" s="4"/>
      <c r="M910" s="4"/>
      <c r="N910" s="4"/>
      <c r="O910" s="4"/>
      <c r="P910" s="4"/>
      <c r="Q910" s="4"/>
      <c r="R910" s="4"/>
      <c r="S910" s="4"/>
      <c r="T910" s="4"/>
    </row>
    <row r="911" spans="1:20">
      <c r="A911" s="2">
        <f t="shared" si="110"/>
        <v>910</v>
      </c>
      <c r="B911" s="7" t="s">
        <v>1131</v>
      </c>
      <c r="K911" s="4"/>
      <c r="L911" s="4"/>
      <c r="M911" s="4"/>
      <c r="N911" s="4"/>
      <c r="O911" s="4"/>
      <c r="P911" s="4"/>
      <c r="Q911" s="4"/>
      <c r="R911" s="4"/>
      <c r="S911" s="4"/>
      <c r="T911" s="4"/>
    </row>
    <row r="912" spans="1:20">
      <c r="A912" s="2">
        <f t="shared" si="110"/>
        <v>911</v>
      </c>
      <c r="B912" s="7" t="s">
        <v>1132</v>
      </c>
      <c r="K912" s="4"/>
      <c r="L912" s="4"/>
      <c r="M912" s="4"/>
      <c r="N912" s="4"/>
      <c r="O912" s="4"/>
      <c r="P912" s="4"/>
      <c r="Q912" s="4"/>
      <c r="R912" s="4"/>
      <c r="S912" s="4"/>
      <c r="T912" s="4"/>
    </row>
    <row r="913" spans="1:20">
      <c r="A913" s="2">
        <f t="shared" si="110"/>
        <v>912</v>
      </c>
      <c r="B913" s="7" t="s">
        <v>1133</v>
      </c>
      <c r="K913" s="4"/>
      <c r="L913" s="4"/>
      <c r="M913" s="4"/>
      <c r="N913" s="4"/>
      <c r="O913" s="4"/>
      <c r="P913" s="4"/>
      <c r="Q913" s="4"/>
      <c r="R913" s="4"/>
      <c r="S913" s="4"/>
      <c r="T913" s="4"/>
    </row>
    <row r="914" spans="1:20">
      <c r="A914" s="2">
        <f t="shared" si="110"/>
        <v>913</v>
      </c>
      <c r="B914" s="7" t="s">
        <v>1134</v>
      </c>
      <c r="K914" s="4"/>
      <c r="L914" s="4"/>
      <c r="M914" s="4"/>
      <c r="N914" s="4"/>
      <c r="O914" s="4"/>
      <c r="P914" s="4"/>
      <c r="Q914" s="4"/>
      <c r="R914" s="4"/>
      <c r="S914" s="4"/>
      <c r="T914" s="4"/>
    </row>
    <row r="915" spans="1:20">
      <c r="A915" s="2">
        <f t="shared" si="110"/>
        <v>914</v>
      </c>
      <c r="B915" s="7" t="s">
        <v>1135</v>
      </c>
      <c r="K915" s="4"/>
      <c r="L915" s="4"/>
      <c r="M915" s="4"/>
      <c r="N915" s="4"/>
      <c r="O915" s="4"/>
      <c r="P915" s="4"/>
      <c r="Q915" s="4"/>
      <c r="R915" s="4"/>
      <c r="S915" s="4"/>
      <c r="T915" s="4"/>
    </row>
    <row r="916" spans="1:20">
      <c r="A916" s="2">
        <f t="shared" si="110"/>
        <v>915</v>
      </c>
      <c r="B916" s="7" t="s">
        <v>1136</v>
      </c>
      <c r="K916" s="4"/>
      <c r="L916" s="4"/>
      <c r="M916" s="4"/>
      <c r="N916" s="4"/>
      <c r="O916" s="4"/>
      <c r="P916" s="4"/>
      <c r="Q916" s="4"/>
      <c r="R916" s="4"/>
      <c r="S916" s="4"/>
      <c r="T916" s="4"/>
    </row>
    <row r="917" spans="1:20">
      <c r="A917" s="2">
        <f t="shared" si="110"/>
        <v>916</v>
      </c>
      <c r="B917" s="7" t="s">
        <v>1137</v>
      </c>
      <c r="K917" s="4"/>
      <c r="L917" s="4"/>
      <c r="M917" s="4"/>
      <c r="N917" s="4"/>
      <c r="O917" s="4"/>
      <c r="P917" s="4"/>
      <c r="Q917" s="4"/>
      <c r="R917" s="4"/>
      <c r="S917" s="4"/>
      <c r="T917" s="4"/>
    </row>
    <row r="918" spans="1:20">
      <c r="A918" s="2">
        <f t="shared" si="110"/>
        <v>917</v>
      </c>
      <c r="B918" s="7" t="s">
        <v>1138</v>
      </c>
      <c r="K918" s="4"/>
      <c r="L918" s="4"/>
      <c r="M918" s="4"/>
      <c r="N918" s="4"/>
      <c r="O918" s="4"/>
      <c r="P918" s="4"/>
      <c r="Q918" s="4"/>
      <c r="R918" s="4"/>
      <c r="S918" s="4"/>
      <c r="T918" s="4"/>
    </row>
    <row r="919" spans="1:20">
      <c r="A919" s="2">
        <f t="shared" si="110"/>
        <v>918</v>
      </c>
      <c r="B919" s="7" t="s">
        <v>1139</v>
      </c>
      <c r="K919" s="4"/>
      <c r="L919" s="4"/>
      <c r="M919" s="4"/>
      <c r="N919" s="4"/>
      <c r="O919" s="4"/>
      <c r="P919" s="4"/>
      <c r="Q919" s="4"/>
      <c r="R919" s="4"/>
      <c r="S919" s="4"/>
      <c r="T919" s="4"/>
    </row>
    <row r="920" spans="1:20">
      <c r="A920" s="2">
        <f t="shared" si="110"/>
        <v>919</v>
      </c>
      <c r="B920" s="7" t="s">
        <v>1140</v>
      </c>
      <c r="K920" s="4"/>
      <c r="L920" s="4"/>
      <c r="M920" s="4"/>
      <c r="N920" s="4"/>
      <c r="O920" s="4"/>
      <c r="P920" s="4"/>
      <c r="Q920" s="4"/>
      <c r="R920" s="4"/>
      <c r="S920" s="4"/>
      <c r="T920" s="4"/>
    </row>
    <row r="921" spans="1:20">
      <c r="A921" s="2">
        <f t="shared" si="110"/>
        <v>920</v>
      </c>
      <c r="B921" s="7" t="s">
        <v>1141</v>
      </c>
      <c r="K921" s="4"/>
      <c r="L921" s="4"/>
      <c r="M921" s="4"/>
      <c r="N921" s="4"/>
      <c r="O921" s="4"/>
      <c r="P921" s="4"/>
      <c r="Q921" s="4"/>
      <c r="R921" s="4"/>
      <c r="S921" s="4"/>
      <c r="T921" s="4"/>
    </row>
    <row r="922" spans="1:20">
      <c r="A922" s="2">
        <f t="shared" si="110"/>
        <v>921</v>
      </c>
      <c r="B922" s="7" t="s">
        <v>1142</v>
      </c>
      <c r="K922" s="4"/>
      <c r="L922" s="4"/>
      <c r="M922" s="4"/>
      <c r="N922" s="4"/>
      <c r="O922" s="4"/>
      <c r="P922" s="4"/>
      <c r="Q922" s="4"/>
      <c r="R922" s="4"/>
      <c r="S922" s="4"/>
      <c r="T922" s="4"/>
    </row>
    <row r="923" spans="1:20">
      <c r="A923" s="2">
        <f t="shared" si="110"/>
        <v>922</v>
      </c>
      <c r="B923" s="7" t="s">
        <v>1143</v>
      </c>
      <c r="K923" s="4"/>
      <c r="L923" s="4"/>
      <c r="M923" s="4"/>
      <c r="N923" s="4"/>
      <c r="O923" s="4"/>
      <c r="P923" s="4"/>
      <c r="Q923" s="4"/>
      <c r="R923" s="4"/>
      <c r="S923" s="4"/>
      <c r="T923" s="4"/>
    </row>
    <row r="924" spans="1:20">
      <c r="A924" s="2">
        <f t="shared" si="110"/>
        <v>923</v>
      </c>
      <c r="B924" s="7" t="s">
        <v>1144</v>
      </c>
      <c r="K924" s="4"/>
      <c r="L924" s="4"/>
      <c r="M924" s="4"/>
      <c r="N924" s="4"/>
      <c r="O924" s="4"/>
      <c r="P924" s="4"/>
      <c r="Q924" s="4"/>
      <c r="R924" s="4"/>
      <c r="S924" s="4"/>
      <c r="T924" s="4"/>
    </row>
    <row r="925" spans="1:20">
      <c r="A925" s="2">
        <f t="shared" si="110"/>
        <v>924</v>
      </c>
      <c r="B925" s="7" t="s">
        <v>1145</v>
      </c>
      <c r="K925" s="4"/>
      <c r="L925" s="4"/>
      <c r="M925" s="4"/>
      <c r="N925" s="4"/>
      <c r="O925" s="4"/>
      <c r="P925" s="4"/>
      <c r="Q925" s="4"/>
      <c r="R925" s="4"/>
      <c r="S925" s="4"/>
      <c r="T925" s="4"/>
    </row>
    <row r="926" spans="1:20">
      <c r="A926" s="2">
        <f t="shared" si="110"/>
        <v>925</v>
      </c>
      <c r="B926" s="7" t="s">
        <v>1146</v>
      </c>
      <c r="K926" s="4"/>
      <c r="L926" s="4"/>
      <c r="M926" s="4"/>
      <c r="N926" s="4"/>
      <c r="O926" s="4"/>
      <c r="P926" s="4"/>
      <c r="Q926" s="4"/>
      <c r="R926" s="4"/>
      <c r="S926" s="4"/>
      <c r="T926" s="4"/>
    </row>
    <row r="927" spans="1:20">
      <c r="A927" s="2">
        <f t="shared" si="110"/>
        <v>926</v>
      </c>
      <c r="B927" s="7" t="s">
        <v>1147</v>
      </c>
      <c r="K927" s="4"/>
      <c r="L927" s="4"/>
      <c r="M927" s="4"/>
      <c r="N927" s="4"/>
      <c r="O927" s="4"/>
      <c r="P927" s="4"/>
      <c r="Q927" s="4"/>
      <c r="R927" s="4"/>
      <c r="S927" s="4"/>
      <c r="T927" s="4"/>
    </row>
    <row r="928" spans="1:20">
      <c r="A928" s="2">
        <f t="shared" si="110"/>
        <v>927</v>
      </c>
      <c r="B928" s="7" t="s">
        <v>1148</v>
      </c>
      <c r="K928" s="4"/>
      <c r="L928" s="4"/>
      <c r="M928" s="4"/>
      <c r="N928" s="4"/>
      <c r="O928" s="4"/>
      <c r="P928" s="4"/>
      <c r="Q928" s="4"/>
      <c r="R928" s="4"/>
      <c r="S928" s="4"/>
      <c r="T928" s="4"/>
    </row>
    <row r="929" spans="1:20">
      <c r="A929" s="2">
        <f t="shared" si="110"/>
        <v>928</v>
      </c>
      <c r="B929" s="7" t="s">
        <v>1149</v>
      </c>
      <c r="K929" s="4"/>
      <c r="L929" s="4"/>
      <c r="M929" s="4"/>
      <c r="N929" s="4"/>
      <c r="O929" s="4"/>
      <c r="P929" s="4"/>
      <c r="Q929" s="4"/>
      <c r="R929" s="4"/>
      <c r="S929" s="4"/>
      <c r="T929" s="4"/>
    </row>
    <row r="930" spans="1:20">
      <c r="A930" s="2">
        <f t="shared" si="110"/>
        <v>929</v>
      </c>
      <c r="B930" s="7" t="s">
        <v>1150</v>
      </c>
      <c r="K930" s="4"/>
      <c r="L930" s="4"/>
      <c r="M930" s="4"/>
      <c r="N930" s="4"/>
      <c r="O930" s="4"/>
      <c r="P930" s="4"/>
      <c r="Q930" s="4"/>
      <c r="R930" s="4"/>
      <c r="S930" s="4"/>
      <c r="T930" s="4"/>
    </row>
    <row r="931" spans="1:20">
      <c r="A931" s="2">
        <f t="shared" si="110"/>
        <v>930</v>
      </c>
      <c r="B931" s="7" t="s">
        <v>1151</v>
      </c>
      <c r="K931" s="4"/>
      <c r="L931" s="4"/>
      <c r="M931" s="4"/>
      <c r="N931" s="4"/>
      <c r="O931" s="4"/>
      <c r="P931" s="4"/>
      <c r="Q931" s="4"/>
      <c r="R931" s="4"/>
      <c r="S931" s="4"/>
      <c r="T931" s="4"/>
    </row>
    <row r="932" spans="1:20">
      <c r="A932" s="2">
        <f t="shared" si="110"/>
        <v>931</v>
      </c>
      <c r="B932" s="7" t="s">
        <v>1152</v>
      </c>
      <c r="K932" s="4"/>
      <c r="L932" s="4"/>
      <c r="M932" s="4"/>
      <c r="N932" s="4"/>
      <c r="O932" s="4"/>
      <c r="P932" s="4"/>
      <c r="Q932" s="4"/>
      <c r="R932" s="4"/>
      <c r="S932" s="4"/>
      <c r="T932" s="4"/>
    </row>
    <row r="933" spans="1:20">
      <c r="K933" s="4"/>
      <c r="L933" s="4"/>
      <c r="M933" s="4"/>
      <c r="N933" s="4"/>
      <c r="O933" s="4"/>
      <c r="P933" s="4"/>
      <c r="Q933" s="4"/>
      <c r="R933" s="4"/>
      <c r="S933" s="4"/>
      <c r="T933" s="4"/>
    </row>
    <row r="934" spans="1:20">
      <c r="K934" s="4"/>
      <c r="L934" s="4"/>
      <c r="M934" s="4"/>
      <c r="N934" s="4"/>
      <c r="O934" s="4"/>
      <c r="P934" s="4"/>
      <c r="Q934" s="4"/>
      <c r="R934" s="4"/>
      <c r="S934" s="4"/>
      <c r="T934" s="4"/>
    </row>
    <row r="935" spans="1:20">
      <c r="K935" s="4"/>
      <c r="L935" s="4"/>
      <c r="M935" s="4"/>
      <c r="N935" s="4"/>
      <c r="O935" s="4"/>
      <c r="P935" s="4"/>
      <c r="Q935" s="4"/>
      <c r="R935" s="4"/>
      <c r="S935" s="4"/>
      <c r="T935" s="4"/>
    </row>
    <row r="936" spans="1:20">
      <c r="K936" s="4"/>
      <c r="L936" s="4"/>
      <c r="M936" s="4"/>
      <c r="N936" s="4"/>
      <c r="O936" s="4"/>
      <c r="P936" s="4"/>
      <c r="Q936" s="4"/>
      <c r="R936" s="4"/>
      <c r="S936" s="4"/>
      <c r="T936" s="4"/>
    </row>
    <row r="937" spans="1:20">
      <c r="K937" s="4"/>
      <c r="L937" s="4"/>
      <c r="M937" s="4"/>
      <c r="N937" s="4"/>
      <c r="O937" s="4"/>
      <c r="P937" s="4"/>
      <c r="Q937" s="4"/>
      <c r="R937" s="4"/>
      <c r="S937" s="4"/>
      <c r="T937" s="4"/>
    </row>
    <row r="938" spans="1:20">
      <c r="K938" s="4"/>
      <c r="L938" s="4"/>
      <c r="M938" s="4"/>
      <c r="N938" s="4"/>
      <c r="O938" s="4"/>
      <c r="P938" s="4"/>
      <c r="Q938" s="4"/>
      <c r="R938" s="4"/>
      <c r="S938" s="4"/>
      <c r="T938" s="4"/>
    </row>
    <row r="939" spans="1:20">
      <c r="K939" s="4"/>
      <c r="L939" s="4"/>
      <c r="M939" s="4"/>
      <c r="N939" s="4"/>
      <c r="O939" s="4"/>
      <c r="P939" s="4"/>
      <c r="Q939" s="4"/>
      <c r="R939" s="4"/>
      <c r="S939" s="4"/>
      <c r="T939" s="4"/>
    </row>
    <row r="940" spans="1:20">
      <c r="K940" s="4"/>
      <c r="L940" s="4"/>
      <c r="M940" s="4"/>
      <c r="N940" s="4"/>
      <c r="O940" s="4"/>
      <c r="P940" s="4"/>
      <c r="Q940" s="4"/>
      <c r="R940" s="4"/>
      <c r="S940" s="4"/>
      <c r="T940" s="4"/>
    </row>
    <row r="941" spans="1:20">
      <c r="K941" s="4"/>
      <c r="L941" s="4"/>
      <c r="M941" s="4"/>
      <c r="N941" s="4"/>
      <c r="O941" s="4"/>
      <c r="P941" s="4"/>
      <c r="Q941" s="4"/>
      <c r="R941" s="4"/>
      <c r="S941" s="4"/>
      <c r="T941" s="4"/>
    </row>
    <row r="942" spans="1:20">
      <c r="K942" s="4"/>
      <c r="L942" s="4"/>
      <c r="M942" s="4"/>
      <c r="N942" s="4"/>
      <c r="O942" s="4"/>
      <c r="P942" s="4"/>
      <c r="Q942" s="4"/>
      <c r="R942" s="4"/>
      <c r="S942" s="4"/>
      <c r="T942" s="4"/>
    </row>
    <row r="943" spans="1:20">
      <c r="K943" s="4"/>
      <c r="L943" s="4"/>
      <c r="M943" s="4"/>
      <c r="N943" s="4"/>
      <c r="O943" s="4"/>
      <c r="P943" s="4"/>
      <c r="Q943" s="4"/>
      <c r="R943" s="4"/>
      <c r="S943" s="4"/>
      <c r="T943" s="4"/>
    </row>
    <row r="944" spans="1:20">
      <c r="K944" s="4"/>
      <c r="L944" s="4"/>
      <c r="M944" s="4"/>
      <c r="N944" s="4"/>
      <c r="O944" s="4"/>
      <c r="P944" s="4"/>
      <c r="Q944" s="4"/>
      <c r="R944" s="4"/>
      <c r="S944" s="4"/>
      <c r="T944" s="4"/>
    </row>
    <row r="945" spans="11:20">
      <c r="K945" s="4"/>
      <c r="L945" s="4"/>
      <c r="M945" s="4"/>
      <c r="N945" s="4"/>
      <c r="O945" s="4"/>
      <c r="P945" s="4"/>
      <c r="Q945" s="4"/>
      <c r="R945" s="4"/>
      <c r="S945" s="4"/>
      <c r="T945" s="4"/>
    </row>
    <row r="946" spans="11:20">
      <c r="K946" s="4"/>
      <c r="L946" s="4"/>
      <c r="M946" s="4"/>
      <c r="N946" s="4"/>
      <c r="O946" s="4"/>
      <c r="P946" s="4"/>
      <c r="Q946" s="4"/>
      <c r="R946" s="4"/>
      <c r="S946" s="4"/>
      <c r="T946" s="4"/>
    </row>
    <row r="947" spans="11:20">
      <c r="K947" s="4"/>
      <c r="L947" s="4"/>
      <c r="M947" s="4"/>
      <c r="N947" s="4"/>
      <c r="O947" s="4"/>
      <c r="P947" s="4"/>
      <c r="Q947" s="4"/>
      <c r="R947" s="4"/>
      <c r="S947" s="4"/>
      <c r="T947" s="4"/>
    </row>
    <row r="948" spans="11:20">
      <c r="K948" s="4"/>
      <c r="L948" s="4"/>
      <c r="M948" s="4"/>
      <c r="N948" s="4"/>
      <c r="O948" s="4"/>
      <c r="P948" s="4"/>
      <c r="Q948" s="4"/>
      <c r="R948" s="4"/>
      <c r="S948" s="4"/>
      <c r="T948" s="4"/>
    </row>
    <row r="949" spans="11:20">
      <c r="K949" s="4"/>
      <c r="L949" s="4"/>
      <c r="M949" s="4"/>
      <c r="N949" s="4"/>
      <c r="O949" s="4"/>
      <c r="P949" s="4"/>
      <c r="Q949" s="4"/>
      <c r="R949" s="4"/>
      <c r="S949" s="4"/>
      <c r="T949" s="4"/>
    </row>
    <row r="950" spans="11:20">
      <c r="K950" s="4"/>
      <c r="L950" s="4"/>
      <c r="M950" s="4"/>
      <c r="N950" s="4"/>
      <c r="O950" s="4"/>
      <c r="P950" s="4"/>
      <c r="Q950" s="4"/>
      <c r="R950" s="4"/>
      <c r="S950" s="4"/>
      <c r="T950" s="4"/>
    </row>
    <row r="951" spans="11:20">
      <c r="K951" s="4"/>
      <c r="L951" s="4"/>
      <c r="M951" s="4"/>
      <c r="N951" s="4"/>
      <c r="O951" s="4"/>
      <c r="P951" s="4"/>
      <c r="Q951" s="4"/>
      <c r="R951" s="4"/>
      <c r="S951" s="4"/>
      <c r="T951" s="4"/>
    </row>
    <row r="952" spans="11:20">
      <c r="K952" s="4"/>
      <c r="L952" s="4"/>
      <c r="M952" s="4"/>
      <c r="N952" s="4"/>
      <c r="O952" s="4"/>
      <c r="P952" s="4"/>
      <c r="Q952" s="4"/>
      <c r="R952" s="4"/>
      <c r="S952" s="4"/>
      <c r="T952" s="4"/>
    </row>
    <row r="953" spans="11:20">
      <c r="K953" s="4"/>
      <c r="L953" s="4"/>
      <c r="M953" s="4"/>
      <c r="N953" s="4"/>
      <c r="O953" s="4"/>
      <c r="P953" s="4"/>
      <c r="Q953" s="4"/>
      <c r="R953" s="4"/>
      <c r="S953" s="4"/>
      <c r="T953" s="4"/>
    </row>
    <row r="954" spans="11:20">
      <c r="K954" s="4"/>
      <c r="L954" s="4"/>
      <c r="M954" s="4"/>
      <c r="N954" s="4"/>
      <c r="O954" s="4"/>
      <c r="P954" s="4"/>
      <c r="Q954" s="4"/>
      <c r="R954" s="4"/>
      <c r="S954" s="4"/>
      <c r="T954" s="4"/>
    </row>
    <row r="955" spans="11:20">
      <c r="K955" s="4"/>
      <c r="L955" s="4"/>
      <c r="M955" s="4"/>
      <c r="N955" s="4"/>
      <c r="O955" s="4"/>
      <c r="P955" s="4"/>
      <c r="Q955" s="4"/>
      <c r="R955" s="4"/>
      <c r="S955" s="4"/>
      <c r="T955" s="4"/>
    </row>
    <row r="956" spans="11:20">
      <c r="K956" s="4"/>
      <c r="L956" s="4"/>
      <c r="M956" s="4"/>
      <c r="N956" s="4"/>
      <c r="O956" s="4"/>
      <c r="P956" s="4"/>
      <c r="Q956" s="4"/>
      <c r="R956" s="4"/>
      <c r="S956" s="4"/>
      <c r="T956" s="4"/>
    </row>
    <row r="957" spans="11:20">
      <c r="K957" s="4"/>
      <c r="L957" s="4"/>
      <c r="M957" s="4"/>
      <c r="N957" s="4"/>
      <c r="O957" s="4"/>
      <c r="P957" s="4"/>
      <c r="Q957" s="4"/>
      <c r="R957" s="4"/>
      <c r="S957" s="4"/>
      <c r="T957" s="4"/>
    </row>
    <row r="958" spans="11:20">
      <c r="K958" s="4"/>
      <c r="L958" s="4"/>
      <c r="M958" s="4"/>
      <c r="N958" s="4"/>
      <c r="O958" s="4"/>
      <c r="P958" s="4"/>
      <c r="Q958" s="4"/>
      <c r="R958" s="4"/>
      <c r="S958" s="4"/>
      <c r="T958" s="4"/>
    </row>
    <row r="959" spans="11:20">
      <c r="K959" s="4"/>
      <c r="L959" s="4"/>
      <c r="M959" s="4"/>
      <c r="N959" s="4"/>
      <c r="O959" s="4"/>
      <c r="P959" s="4"/>
      <c r="Q959" s="4"/>
      <c r="R959" s="4"/>
      <c r="S959" s="4"/>
      <c r="T959" s="4"/>
    </row>
    <row r="960" spans="11:20">
      <c r="K960" s="4"/>
      <c r="L960" s="4"/>
      <c r="M960" s="4"/>
      <c r="N960" s="4"/>
      <c r="O960" s="4"/>
      <c r="P960" s="4"/>
      <c r="Q960" s="4"/>
      <c r="R960" s="4"/>
      <c r="S960" s="4"/>
      <c r="T960" s="4"/>
    </row>
    <row r="961" spans="11:20">
      <c r="K961" s="4"/>
      <c r="L961" s="4"/>
      <c r="M961" s="4"/>
      <c r="N961" s="4"/>
      <c r="O961" s="4"/>
      <c r="P961" s="4"/>
      <c r="Q961" s="4"/>
      <c r="R961" s="4"/>
      <c r="S961" s="4"/>
      <c r="T961" s="4"/>
    </row>
    <row r="962" spans="11:20">
      <c r="K962" s="4"/>
      <c r="L962" s="4"/>
      <c r="M962" s="4"/>
      <c r="N962" s="4"/>
      <c r="O962" s="4"/>
      <c r="P962" s="4"/>
      <c r="Q962" s="4"/>
      <c r="R962" s="4"/>
      <c r="S962" s="4"/>
      <c r="T962" s="4"/>
    </row>
    <row r="963" spans="11:20">
      <c r="K963" s="4"/>
      <c r="L963" s="4"/>
      <c r="M963" s="4"/>
      <c r="N963" s="4"/>
      <c r="O963" s="4"/>
      <c r="P963" s="4"/>
      <c r="Q963" s="4"/>
      <c r="R963" s="4"/>
      <c r="S963" s="4"/>
      <c r="T963" s="4"/>
    </row>
    <row r="964" spans="11:20">
      <c r="K964" s="4"/>
      <c r="L964" s="4"/>
      <c r="M964" s="4"/>
      <c r="N964" s="4"/>
      <c r="O964" s="4"/>
      <c r="P964" s="4"/>
      <c r="Q964" s="4"/>
      <c r="R964" s="4"/>
      <c r="S964" s="4"/>
      <c r="T964" s="4"/>
    </row>
    <row r="965" spans="11:20">
      <c r="K965" s="4"/>
      <c r="L965" s="4"/>
      <c r="M965" s="4"/>
      <c r="N965" s="4"/>
      <c r="O965" s="4"/>
      <c r="P965" s="4"/>
      <c r="Q965" s="4"/>
      <c r="R965" s="4"/>
      <c r="S965" s="4"/>
      <c r="T965" s="4"/>
    </row>
    <row r="966" spans="11:20">
      <c r="K966" s="4"/>
      <c r="L966" s="4"/>
      <c r="M966" s="4"/>
      <c r="N966" s="4"/>
      <c r="O966" s="4"/>
      <c r="P966" s="4"/>
      <c r="Q966" s="4"/>
      <c r="R966" s="4"/>
      <c r="S966" s="4"/>
      <c r="T966" s="4"/>
    </row>
    <row r="967" spans="11:20">
      <c r="K967" s="4"/>
      <c r="L967" s="4"/>
      <c r="M967" s="4"/>
      <c r="N967" s="4"/>
      <c r="O967" s="4"/>
      <c r="P967" s="4"/>
      <c r="Q967" s="4"/>
      <c r="R967" s="4"/>
      <c r="S967" s="4"/>
      <c r="T967" s="4"/>
    </row>
    <row r="968" spans="11:20">
      <c r="K968" s="4"/>
      <c r="L968" s="4"/>
      <c r="M968" s="4"/>
      <c r="N968" s="4"/>
      <c r="O968" s="4"/>
      <c r="P968" s="4"/>
      <c r="Q968" s="4"/>
      <c r="R968" s="4"/>
      <c r="S968" s="4"/>
      <c r="T968" s="4"/>
    </row>
    <row r="969" spans="11:20">
      <c r="K969" s="4"/>
      <c r="L969" s="4"/>
      <c r="M969" s="4"/>
      <c r="N969" s="4"/>
      <c r="O969" s="4"/>
      <c r="P969" s="4"/>
      <c r="Q969" s="4"/>
      <c r="R969" s="4"/>
      <c r="S969" s="4"/>
      <c r="T969" s="4"/>
    </row>
    <row r="970" spans="11:20">
      <c r="K970" s="4"/>
      <c r="L970" s="4"/>
      <c r="M970" s="4"/>
      <c r="N970" s="4"/>
      <c r="O970" s="4"/>
      <c r="P970" s="4"/>
      <c r="Q970" s="4"/>
      <c r="R970" s="4"/>
      <c r="S970" s="4"/>
      <c r="T970" s="4"/>
    </row>
    <row r="971" spans="11:20">
      <c r="K971" s="4"/>
      <c r="L971" s="4"/>
      <c r="M971" s="4"/>
      <c r="N971" s="4"/>
      <c r="O971" s="4"/>
      <c r="P971" s="4"/>
      <c r="Q971" s="4"/>
      <c r="R971" s="4"/>
      <c r="S971" s="4"/>
      <c r="T971" s="4"/>
    </row>
    <row r="972" spans="11:20">
      <c r="K972" s="4"/>
      <c r="L972" s="4"/>
      <c r="M972" s="4"/>
      <c r="N972" s="4"/>
      <c r="O972" s="4"/>
      <c r="P972" s="4"/>
      <c r="Q972" s="4"/>
      <c r="R972" s="4"/>
      <c r="S972" s="4"/>
      <c r="T972" s="4"/>
    </row>
    <row r="973" spans="11:20">
      <c r="K973" s="4"/>
      <c r="L973" s="4"/>
      <c r="M973" s="4"/>
      <c r="N973" s="4"/>
      <c r="O973" s="4"/>
      <c r="P973" s="4"/>
      <c r="Q973" s="4"/>
      <c r="R973" s="4"/>
      <c r="S973" s="4"/>
      <c r="T973" s="4"/>
    </row>
    <row r="974" spans="11:20">
      <c r="K974" s="4"/>
      <c r="L974" s="4"/>
      <c r="M974" s="4"/>
      <c r="N974" s="4"/>
      <c r="O974" s="4"/>
      <c r="P974" s="4"/>
      <c r="Q974" s="4"/>
      <c r="R974" s="4"/>
      <c r="S974" s="4"/>
      <c r="T974" s="4"/>
    </row>
    <row r="975" spans="11:20">
      <c r="K975" s="4"/>
      <c r="L975" s="4"/>
      <c r="M975" s="4"/>
      <c r="N975" s="4"/>
      <c r="O975" s="4"/>
      <c r="P975" s="4"/>
      <c r="Q975" s="4"/>
      <c r="R975" s="4"/>
      <c r="S975" s="4"/>
      <c r="T975" s="4"/>
    </row>
    <row r="976" spans="11:20">
      <c r="K976" s="4"/>
      <c r="L976" s="4"/>
      <c r="M976" s="4"/>
      <c r="N976" s="4"/>
      <c r="O976" s="4"/>
      <c r="P976" s="4"/>
      <c r="Q976" s="4"/>
      <c r="R976" s="4"/>
      <c r="S976" s="4"/>
      <c r="T976" s="4"/>
    </row>
    <row r="977" spans="11:20">
      <c r="K977" s="4"/>
      <c r="L977" s="4"/>
      <c r="M977" s="4"/>
      <c r="N977" s="4"/>
      <c r="O977" s="4"/>
      <c r="P977" s="4"/>
      <c r="Q977" s="4"/>
      <c r="R977" s="4"/>
      <c r="S977" s="4"/>
      <c r="T977" s="4"/>
    </row>
    <row r="978" spans="11:20">
      <c r="K978" s="4"/>
      <c r="L978" s="4"/>
      <c r="M978" s="4"/>
      <c r="N978" s="4"/>
      <c r="O978" s="4"/>
      <c r="P978" s="4"/>
      <c r="Q978" s="4"/>
      <c r="R978" s="4"/>
      <c r="S978" s="4"/>
      <c r="T978" s="4"/>
    </row>
    <row r="979" spans="11:20">
      <c r="K979" s="4"/>
      <c r="L979" s="4"/>
      <c r="M979" s="4"/>
      <c r="N979" s="4"/>
      <c r="O979" s="4"/>
      <c r="P979" s="4"/>
      <c r="Q979" s="4"/>
      <c r="R979" s="4"/>
      <c r="S979" s="4"/>
      <c r="T979" s="4"/>
    </row>
    <row r="980" spans="11:20">
      <c r="K980" s="4"/>
      <c r="L980" s="4"/>
      <c r="M980" s="4"/>
      <c r="N980" s="4"/>
      <c r="O980" s="4"/>
      <c r="P980" s="4"/>
      <c r="Q980" s="4"/>
      <c r="R980" s="4"/>
      <c r="S980" s="4"/>
      <c r="T980" s="4"/>
    </row>
    <row r="981" spans="11:20">
      <c r="K981" s="4"/>
      <c r="L981" s="4"/>
      <c r="M981" s="4"/>
      <c r="N981" s="4"/>
      <c r="O981" s="4"/>
      <c r="P981" s="4"/>
      <c r="Q981" s="4"/>
      <c r="R981" s="4"/>
      <c r="S981" s="4"/>
      <c r="T981" s="4"/>
    </row>
    <row r="982" spans="11:20">
      <c r="K982" s="4"/>
      <c r="L982" s="4"/>
      <c r="M982" s="4"/>
      <c r="N982" s="4"/>
      <c r="O982" s="4"/>
      <c r="P982" s="4"/>
      <c r="Q982" s="4"/>
      <c r="R982" s="4"/>
      <c r="S982" s="4"/>
      <c r="T982" s="4"/>
    </row>
    <row r="983" spans="11:20">
      <c r="K983" s="4"/>
      <c r="L983" s="4"/>
      <c r="M983" s="4"/>
      <c r="N983" s="4"/>
      <c r="O983" s="4"/>
      <c r="P983" s="4"/>
      <c r="Q983" s="4"/>
      <c r="R983" s="4"/>
      <c r="S983" s="4"/>
      <c r="T983" s="4"/>
    </row>
    <row r="984" spans="11:20">
      <c r="K984" s="4"/>
      <c r="L984" s="4"/>
      <c r="M984" s="4"/>
      <c r="N984" s="4"/>
      <c r="O984" s="4"/>
      <c r="P984" s="4"/>
      <c r="Q984" s="4"/>
      <c r="R984" s="4"/>
      <c r="S984" s="4"/>
      <c r="T984" s="4"/>
    </row>
    <row r="985" spans="11:20">
      <c r="K985" s="4"/>
      <c r="L985" s="4"/>
      <c r="M985" s="4"/>
      <c r="N985" s="4"/>
      <c r="O985" s="4"/>
      <c r="P985" s="4"/>
      <c r="Q985" s="4"/>
      <c r="R985" s="4"/>
      <c r="S985" s="4"/>
      <c r="T985" s="4"/>
    </row>
    <row r="986" spans="11:20">
      <c r="K986" s="4"/>
      <c r="L986" s="4"/>
      <c r="M986" s="4"/>
      <c r="N986" s="4"/>
      <c r="O986" s="4"/>
      <c r="P986" s="4"/>
      <c r="Q986" s="4"/>
      <c r="R986" s="4"/>
      <c r="S986" s="4"/>
      <c r="T986" s="4"/>
    </row>
    <row r="987" spans="11:20">
      <c r="K987" s="4"/>
      <c r="L987" s="4"/>
      <c r="M987" s="4"/>
      <c r="N987" s="4"/>
      <c r="O987" s="4"/>
      <c r="P987" s="4"/>
      <c r="Q987" s="4"/>
      <c r="R987" s="4"/>
      <c r="S987" s="4"/>
      <c r="T987" s="4"/>
    </row>
    <row r="988" spans="11:20">
      <c r="K988" s="4"/>
      <c r="L988" s="4"/>
      <c r="M988" s="4"/>
      <c r="N988" s="4"/>
      <c r="O988" s="4"/>
      <c r="P988" s="4"/>
      <c r="Q988" s="4"/>
      <c r="R988" s="4"/>
      <c r="S988" s="4"/>
      <c r="T988" s="4"/>
    </row>
    <row r="989" spans="11:20">
      <c r="K989" s="4"/>
      <c r="L989" s="4"/>
      <c r="M989" s="4"/>
      <c r="N989" s="4"/>
      <c r="O989" s="4"/>
      <c r="P989" s="4"/>
      <c r="Q989" s="4"/>
      <c r="R989" s="4"/>
      <c r="S989" s="4"/>
      <c r="T989" s="4"/>
    </row>
    <row r="990" spans="11:20">
      <c r="K990" s="4"/>
      <c r="L990" s="4"/>
      <c r="M990" s="4"/>
      <c r="N990" s="4"/>
      <c r="O990" s="4"/>
      <c r="P990" s="4"/>
      <c r="Q990" s="4"/>
      <c r="R990" s="4"/>
      <c r="S990" s="4"/>
      <c r="T990" s="4"/>
    </row>
    <row r="991" spans="11:20">
      <c r="K991" s="4"/>
      <c r="L991" s="4"/>
      <c r="M991" s="4"/>
      <c r="N991" s="4"/>
      <c r="O991" s="4"/>
      <c r="P991" s="4"/>
      <c r="Q991" s="4"/>
      <c r="R991" s="4"/>
      <c r="S991" s="4"/>
      <c r="T991" s="4"/>
    </row>
    <row r="992" spans="11:20">
      <c r="K992" s="4"/>
      <c r="L992" s="4"/>
      <c r="M992" s="4"/>
      <c r="N992" s="4"/>
      <c r="O992" s="4"/>
      <c r="P992" s="4"/>
      <c r="Q992" s="4"/>
      <c r="R992" s="4"/>
      <c r="S992" s="4"/>
      <c r="T992" s="4"/>
    </row>
    <row r="993" spans="11:20">
      <c r="K993" s="4"/>
      <c r="L993" s="4"/>
      <c r="M993" s="4"/>
      <c r="N993" s="4"/>
      <c r="O993" s="4"/>
      <c r="P993" s="4"/>
      <c r="Q993" s="4"/>
      <c r="R993" s="4"/>
      <c r="S993" s="4"/>
      <c r="T993" s="4"/>
    </row>
    <row r="994" spans="11:20">
      <c r="K994" s="4"/>
      <c r="L994" s="4"/>
      <c r="M994" s="4"/>
      <c r="N994" s="4"/>
      <c r="O994" s="4"/>
      <c r="P994" s="4"/>
      <c r="Q994" s="4"/>
      <c r="R994" s="4"/>
      <c r="S994" s="4"/>
      <c r="T994" s="4"/>
    </row>
    <row r="995" spans="11:20">
      <c r="K995" s="4"/>
      <c r="L995" s="4"/>
      <c r="M995" s="4"/>
      <c r="N995" s="4"/>
      <c r="O995" s="4"/>
      <c r="P995" s="4"/>
      <c r="Q995" s="4"/>
      <c r="R995" s="4"/>
      <c r="S995" s="4"/>
      <c r="T995" s="4"/>
    </row>
    <row r="996" spans="11:20">
      <c r="K996" s="4"/>
      <c r="L996" s="4"/>
      <c r="M996" s="4"/>
      <c r="N996" s="4"/>
      <c r="O996" s="4"/>
      <c r="P996" s="4"/>
      <c r="Q996" s="4"/>
      <c r="R996" s="4"/>
      <c r="S996" s="4"/>
      <c r="T996" s="4"/>
    </row>
    <row r="997" spans="11:20">
      <c r="K997" s="4"/>
      <c r="L997" s="4"/>
      <c r="M997" s="4"/>
      <c r="N997" s="4"/>
      <c r="O997" s="4"/>
      <c r="P997" s="4"/>
      <c r="Q997" s="4"/>
      <c r="R997" s="4"/>
      <c r="S997" s="4"/>
      <c r="T997" s="4"/>
    </row>
    <row r="998" spans="11:20">
      <c r="K998" s="4"/>
      <c r="L998" s="4"/>
      <c r="M998" s="4"/>
      <c r="N998" s="4"/>
      <c r="O998" s="4"/>
      <c r="P998" s="4"/>
      <c r="Q998" s="4"/>
      <c r="R998" s="4"/>
      <c r="S998" s="4"/>
      <c r="T998" s="4"/>
    </row>
    <row r="999" spans="11:20">
      <c r="K999" s="4"/>
      <c r="L999" s="4"/>
      <c r="M999" s="4"/>
      <c r="N999" s="4"/>
      <c r="O999" s="4"/>
      <c r="P999" s="4"/>
      <c r="Q999" s="4"/>
      <c r="R999" s="4"/>
      <c r="S999" s="4"/>
      <c r="T999" s="4"/>
    </row>
    <row r="1000" spans="11:20">
      <c r="K1000" s="4"/>
      <c r="L1000" s="4"/>
      <c r="M1000" s="4"/>
      <c r="N1000" s="4"/>
      <c r="O1000" s="4"/>
      <c r="P1000" s="4"/>
      <c r="Q1000" s="4"/>
      <c r="R1000" s="4"/>
      <c r="S1000" s="4"/>
      <c r="T1000" s="4"/>
    </row>
    <row r="1001" spans="11:20">
      <c r="K1001" s="4"/>
      <c r="L1001" s="4"/>
      <c r="M1001" s="4"/>
      <c r="N1001" s="4"/>
      <c r="O1001" s="4"/>
      <c r="P1001" s="4"/>
      <c r="Q1001" s="4"/>
      <c r="R1001" s="4"/>
      <c r="S1001" s="4"/>
      <c r="T1001" s="4"/>
    </row>
    <row r="1002" spans="11:20">
      <c r="K1002" s="4"/>
      <c r="L1002" s="4"/>
      <c r="M1002" s="4"/>
      <c r="N1002" s="4"/>
      <c r="O1002" s="4"/>
      <c r="P1002" s="4"/>
      <c r="Q1002" s="4"/>
      <c r="R1002" s="4"/>
      <c r="S1002" s="4"/>
      <c r="T1002" s="4"/>
    </row>
  </sheetData>
  <mergeCells count="8">
    <mergeCell ref="K1:T1"/>
    <mergeCell ref="A1:H1"/>
    <mergeCell ref="BH52:BI52"/>
    <mergeCell ref="EF46:EG46"/>
    <mergeCell ref="V14:W14"/>
    <mergeCell ref="AG18:AH18"/>
    <mergeCell ref="AD18:AE18"/>
    <mergeCell ref="V18:AB18"/>
  </mergeCells>
  <phoneticPr fontId="1"/>
  <conditionalFormatting sqref="AK2:AT6">
    <cfRule type="colorScale" priority="103">
      <colorScale>
        <cfvo type="min"/>
        <cfvo type="max"/>
        <color rgb="FFFCFCFF"/>
        <color rgb="FF63BE7B"/>
      </colorScale>
    </cfRule>
    <cfRule type="colorScale" priority="17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2:BE6">
    <cfRule type="colorScale" priority="265">
      <colorScale>
        <cfvo type="min"/>
        <cfvo type="max"/>
        <color rgb="FF63BE7B"/>
        <color rgb="FFFFEF9C"/>
      </colorScale>
    </cfRule>
  </conditionalFormatting>
  <conditionalFormatting sqref="BS2:BX13">
    <cfRule type="colorScale" priority="257">
      <colorScale>
        <cfvo type="min"/>
        <cfvo type="max"/>
        <color rgb="FF63BE7B"/>
        <color rgb="FFFFEF9C"/>
      </colorScale>
    </cfRule>
  </conditionalFormatting>
  <conditionalFormatting sqref="CV17:CV21">
    <cfRule type="colorScale" priority="247">
      <colorScale>
        <cfvo type="min"/>
        <cfvo type="max"/>
        <color rgb="FF63BE7B"/>
        <color rgb="FFFFEF9C"/>
      </colorScale>
    </cfRule>
  </conditionalFormatting>
  <conditionalFormatting sqref="K3:T1001">
    <cfRule type="colorScale" priority="246">
      <colorScale>
        <cfvo type="min"/>
        <cfvo type="max"/>
        <color rgb="FF63BE7B"/>
        <color rgb="FFFFEF9C"/>
      </colorScale>
    </cfRule>
  </conditionalFormatting>
  <conditionalFormatting sqref="BH2:BR13">
    <cfRule type="colorScale" priority="271">
      <colorScale>
        <cfvo type="min"/>
        <cfvo type="max"/>
        <color rgb="FF63BE7B"/>
        <color rgb="FFFFEF9C"/>
      </colorScale>
    </cfRule>
  </conditionalFormatting>
  <conditionalFormatting sqref="CX2:DB19">
    <cfRule type="colorScale" priority="229">
      <colorScale>
        <cfvo type="min"/>
        <cfvo type="max"/>
        <color rgb="FF63BE7B"/>
        <color rgb="FFFFEF9C"/>
      </colorScale>
    </cfRule>
  </conditionalFormatting>
  <conditionalFormatting sqref="DJ2:DN6">
    <cfRule type="colorScale" priority="225">
      <colorScale>
        <cfvo type="min"/>
        <cfvo type="max"/>
        <color rgb="FF63BE7B"/>
        <color rgb="FFFFEF9C"/>
      </colorScale>
    </cfRule>
  </conditionalFormatting>
  <conditionalFormatting sqref="DJ7:DN11">
    <cfRule type="colorScale" priority="226">
      <colorScale>
        <cfvo type="min"/>
        <cfvo type="max"/>
        <color rgb="FF63BE7B"/>
        <color rgb="FFFFEF9C"/>
      </colorScale>
    </cfRule>
  </conditionalFormatting>
  <conditionalFormatting sqref="DO2:DS6">
    <cfRule type="colorScale" priority="223">
      <colorScale>
        <cfvo type="min"/>
        <cfvo type="max"/>
        <color rgb="FF63BE7B"/>
        <color rgb="FFFFEF9C"/>
      </colorScale>
    </cfRule>
  </conditionalFormatting>
  <conditionalFormatting sqref="DO7:DS11">
    <cfRule type="colorScale" priority="224">
      <colorScale>
        <cfvo type="min"/>
        <cfvo type="max"/>
        <color rgb="FF63BE7B"/>
        <color rgb="FFFFEF9C"/>
      </colorScale>
    </cfRule>
  </conditionalFormatting>
  <conditionalFormatting sqref="DU2:DY6">
    <cfRule type="colorScale" priority="222">
      <colorScale>
        <cfvo type="min"/>
        <cfvo type="max"/>
        <color rgb="FF63BE7B"/>
        <color rgb="FFFFEF9C"/>
      </colorScale>
    </cfRule>
  </conditionalFormatting>
  <conditionalFormatting sqref="EP5:EP9 DZ2:EO6 EF7:EO12">
    <cfRule type="colorScale" priority="221">
      <colorScale>
        <cfvo type="min"/>
        <cfvo type="max"/>
        <color rgb="FF63BE7B"/>
        <color rgb="FFFFEF9C"/>
      </colorScale>
    </cfRule>
  </conditionalFormatting>
  <conditionalFormatting sqref="EP5:EP9 DU2:EO6 EF7:EO12">
    <cfRule type="colorScale" priority="22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S2:BW13">
    <cfRule type="colorScale" priority="2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13:CC13">
    <cfRule type="colorScale" priority="210">
      <colorScale>
        <cfvo type="min"/>
        <cfvo type="max"/>
        <color rgb="FF63BE7B"/>
        <color rgb="FFFFEF9C"/>
      </colorScale>
    </cfRule>
  </conditionalFormatting>
  <conditionalFormatting sqref="BY13:CC13">
    <cfRule type="colorScale" priority="2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3:CI13 CK2:CU12">
    <cfRule type="colorScale" priority="208">
      <colorScale>
        <cfvo type="min"/>
        <cfvo type="max"/>
        <color rgb="FF63BE7B"/>
        <color rgb="FFFFEF9C"/>
      </colorScale>
    </cfRule>
  </conditionalFormatting>
  <conditionalFormatting sqref="CE13:CI13 CK2:CU12">
    <cfRule type="colorScale" priority="20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Q5:EZ9">
    <cfRule type="colorScale" priority="180">
      <colorScale>
        <cfvo type="min"/>
        <cfvo type="max"/>
        <color rgb="FF63BE7B"/>
        <color rgb="FFFFEF9C"/>
      </colorScale>
    </cfRule>
  </conditionalFormatting>
  <conditionalFormatting sqref="EV5:EZ9">
    <cfRule type="colorScale" priority="179">
      <colorScale>
        <cfvo type="min"/>
        <cfvo type="max"/>
        <color rgb="FF63BE7B"/>
        <color rgb="FFFFEF9C"/>
      </colorScale>
    </cfRule>
  </conditionalFormatting>
  <conditionalFormatting sqref="EQ5:EZ9">
    <cfRule type="colorScale" priority="1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2:BE6">
    <cfRule type="colorScale" priority="17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K2:T2">
    <cfRule type="colorScale" priority="165">
      <colorScale>
        <cfvo type="min"/>
        <cfvo type="max"/>
        <color rgb="FF63BE7B"/>
        <color rgb="FFFFEF9C"/>
      </colorScale>
    </cfRule>
  </conditionalFormatting>
  <conditionalFormatting sqref="K1002:T1002">
    <cfRule type="colorScale" priority="164">
      <colorScale>
        <cfvo type="min"/>
        <cfvo type="max"/>
        <color rgb="FF63BE7B"/>
        <color rgb="FFFFEF9C"/>
      </colorScale>
    </cfRule>
  </conditionalFormatting>
  <conditionalFormatting sqref="Z2:AI6">
    <cfRule type="colorScale" priority="16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3">
      <colorScale>
        <cfvo type="min"/>
        <cfvo type="max"/>
        <color rgb="FF63BE7B"/>
        <color rgb="FFFFEF9C"/>
      </colorScale>
    </cfRule>
  </conditionalFormatting>
  <conditionalFormatting sqref="BY2:CI12">
    <cfRule type="colorScale" priority="277">
      <colorScale>
        <cfvo type="min"/>
        <cfvo type="max"/>
        <color rgb="FF63BE7B"/>
        <color rgb="FFFFEF9C"/>
      </colorScale>
    </cfRule>
  </conditionalFormatting>
  <conditionalFormatting sqref="BY2:CI12">
    <cfRule type="colorScale" priority="27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:CI12">
    <cfRule type="colorScale" priority="1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J13:DN13">
    <cfRule type="colorScale" priority="132">
      <colorScale>
        <cfvo type="min"/>
        <cfvo type="max"/>
        <color rgb="FF63BE7B"/>
        <color rgb="FFFFEF9C"/>
      </colorScale>
    </cfRule>
  </conditionalFormatting>
  <conditionalFormatting sqref="DO13:DS13">
    <cfRule type="colorScale" priority="131">
      <colorScale>
        <cfvo type="min"/>
        <cfvo type="max"/>
        <color rgb="FF63BE7B"/>
        <color rgb="FFFFEF9C"/>
      </colorScale>
    </cfRule>
  </conditionalFormatting>
  <conditionalFormatting sqref="EF2:EO12">
    <cfRule type="colorScale" priority="12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30">
      <colorScale>
        <cfvo type="min"/>
        <cfvo type="max"/>
        <color rgb="FF63BE7B"/>
        <color rgb="FFFFEF9C"/>
      </colorScale>
    </cfRule>
  </conditionalFormatting>
  <conditionalFormatting sqref="DU2:ED6">
    <cfRule type="colorScale" priority="1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J16:DN20">
    <cfRule type="colorScale" priority="125">
      <colorScale>
        <cfvo type="min"/>
        <cfvo type="max"/>
        <color rgb="FF63BE7B"/>
        <color rgb="FFFFEF9C"/>
      </colorScale>
    </cfRule>
  </conditionalFormatting>
  <conditionalFormatting sqref="DJ21:DN25">
    <cfRule type="colorScale" priority="126">
      <colorScale>
        <cfvo type="min"/>
        <cfvo type="max"/>
        <color rgb="FF63BE7B"/>
        <color rgb="FFFFEF9C"/>
      </colorScale>
    </cfRule>
  </conditionalFormatting>
  <conditionalFormatting sqref="DO16:DS20">
    <cfRule type="colorScale" priority="123">
      <colorScale>
        <cfvo type="min"/>
        <cfvo type="max"/>
        <color rgb="FF63BE7B"/>
        <color rgb="FFFFEF9C"/>
      </colorScale>
    </cfRule>
  </conditionalFormatting>
  <conditionalFormatting sqref="DO21:DS25">
    <cfRule type="colorScale" priority="124">
      <colorScale>
        <cfvo type="min"/>
        <cfvo type="max"/>
        <color rgb="FF63BE7B"/>
        <color rgb="FFFFEF9C"/>
      </colorScale>
    </cfRule>
  </conditionalFormatting>
  <conditionalFormatting sqref="DU16:DY20">
    <cfRule type="colorScale" priority="122">
      <colorScale>
        <cfvo type="min"/>
        <cfvo type="max"/>
        <color rgb="FF63BE7B"/>
        <color rgb="FFFFEF9C"/>
      </colorScale>
    </cfRule>
  </conditionalFormatting>
  <conditionalFormatting sqref="EP19:EP23 DZ16:EO20 EF21:EO26">
    <cfRule type="colorScale" priority="121">
      <colorScale>
        <cfvo type="min"/>
        <cfvo type="max"/>
        <color rgb="FF63BE7B"/>
        <color rgb="FFFFEF9C"/>
      </colorScale>
    </cfRule>
  </conditionalFormatting>
  <conditionalFormatting sqref="EP19:EP23 DU16:EO20 EF21:EO26">
    <cfRule type="colorScale" priority="12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Q16:EZ26">
    <cfRule type="colorScale" priority="119">
      <colorScale>
        <cfvo type="min"/>
        <cfvo type="max"/>
        <color rgb="FF63BE7B"/>
        <color rgb="FFFFEF9C"/>
      </colorScale>
    </cfRule>
  </conditionalFormatting>
  <conditionalFormatting sqref="EV16:EZ26">
    <cfRule type="colorScale" priority="118">
      <colorScale>
        <cfvo type="min"/>
        <cfvo type="max"/>
        <color rgb="FF63BE7B"/>
        <color rgb="FFFFEF9C"/>
      </colorScale>
    </cfRule>
  </conditionalFormatting>
  <conditionalFormatting sqref="EQ16:EZ26">
    <cfRule type="colorScale" priority="1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J27:DN27">
    <cfRule type="colorScale" priority="117">
      <colorScale>
        <cfvo type="min"/>
        <cfvo type="max"/>
        <color rgb="FF63BE7B"/>
        <color rgb="FFFFEF9C"/>
      </colorScale>
    </cfRule>
  </conditionalFormatting>
  <conditionalFormatting sqref="DO27:DS27">
    <cfRule type="colorScale" priority="116">
      <colorScale>
        <cfvo type="min"/>
        <cfvo type="max"/>
        <color rgb="FF63BE7B"/>
        <color rgb="FFFFEF9C"/>
      </colorScale>
    </cfRule>
  </conditionalFormatting>
  <conditionalFormatting sqref="EF16:EO26"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15">
      <colorScale>
        <cfvo type="min"/>
        <cfvo type="max"/>
        <color rgb="FF63BE7B"/>
        <color rgb="FFFFEF9C"/>
      </colorScale>
    </cfRule>
  </conditionalFormatting>
  <conditionalFormatting sqref="DU16:ED20">
    <cfRule type="colorScale" priority="1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U28:ED28">
    <cfRule type="colorScale" priority="98">
      <colorScale>
        <cfvo type="min"/>
        <cfvo type="max"/>
        <color rgb="FF63BE7B"/>
        <color rgb="FFFFEF9C"/>
      </colorScale>
    </cfRule>
  </conditionalFormatting>
  <conditionalFormatting sqref="DU28:ED28">
    <cfRule type="colorScale" priority="9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U28:ED28">
    <cfRule type="colorScale" priority="9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96">
      <colorScale>
        <cfvo type="min"/>
        <cfvo type="max"/>
        <color rgb="FF63BE7B"/>
        <color rgb="FFFFEF9C"/>
      </colorScale>
    </cfRule>
  </conditionalFormatting>
  <conditionalFormatting sqref="EF28:EO28">
    <cfRule type="colorScale" priority="94">
      <colorScale>
        <cfvo type="min"/>
        <cfvo type="max"/>
        <color rgb="FF63BE7B"/>
        <color rgb="FFFFEF9C"/>
      </colorScale>
    </cfRule>
  </conditionalFormatting>
  <conditionalFormatting sqref="EF28:EO2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F28:EO28">
    <cfRule type="colorScale" priority="9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92">
      <colorScale>
        <cfvo type="min"/>
        <cfvo type="max"/>
        <color rgb="FF63BE7B"/>
        <color rgb="FFFFEF9C"/>
      </colorScale>
    </cfRule>
  </conditionalFormatting>
  <conditionalFormatting sqref="EQ28:EZ28">
    <cfRule type="colorScale" priority="90">
      <colorScale>
        <cfvo type="min"/>
        <cfvo type="max"/>
        <color rgb="FF63BE7B"/>
        <color rgb="FFFFEF9C"/>
      </colorScale>
    </cfRule>
  </conditionalFormatting>
  <conditionalFormatting sqref="EQ28:EZ28">
    <cfRule type="colorScale" priority="8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Q28:EZ28">
    <cfRule type="colorScale" priority="8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88">
      <colorScale>
        <cfvo type="min"/>
        <cfvo type="max"/>
        <color rgb="FF63BE7B"/>
        <color rgb="FFFFEF9C"/>
      </colorScale>
    </cfRule>
  </conditionalFormatting>
  <conditionalFormatting sqref="AK7:AT11">
    <cfRule type="colorScale" priority="81">
      <colorScale>
        <cfvo type="min"/>
        <cfvo type="max"/>
        <color rgb="FFFCFCFF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7:BE11">
    <cfRule type="colorScale" priority="86">
      <colorScale>
        <cfvo type="min"/>
        <cfvo type="max"/>
        <color rgb="FF63BE7B"/>
        <color rgb="FFFFEF9C"/>
      </colorScale>
    </cfRule>
  </conditionalFormatting>
  <conditionalFormatting sqref="AV7:BE11">
    <cfRule type="colorScale" priority="8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7:AI11">
    <cfRule type="colorScale" priority="8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83">
      <colorScale>
        <cfvo type="min"/>
        <cfvo type="max"/>
        <color rgb="FF63BE7B"/>
        <color rgb="FFFFEF9C"/>
      </colorScale>
    </cfRule>
  </conditionalFormatting>
  <conditionalFormatting sqref="AK12:AT12">
    <cfRule type="colorScale" priority="73">
      <colorScale>
        <cfvo type="min"/>
        <cfvo type="max"/>
        <color rgb="FFFCFCFF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12:BE12">
    <cfRule type="colorScale" priority="78">
      <colorScale>
        <cfvo type="min"/>
        <cfvo type="max"/>
        <color rgb="FF63BE7B"/>
        <color rgb="FFFFEF9C"/>
      </colorScale>
    </cfRule>
  </conditionalFormatting>
  <conditionalFormatting sqref="AV12:BE12">
    <cfRule type="colorScale" priority="7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12:AI12">
    <cfRule type="colorScale" priority="7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75">
      <colorScale>
        <cfvo type="min"/>
        <cfvo type="max"/>
        <color rgb="FF63BE7B"/>
        <color rgb="FFFFEF9C"/>
      </colorScale>
    </cfRule>
  </conditionalFormatting>
  <conditionalFormatting sqref="DJ30:DN34">
    <cfRule type="colorScale" priority="71">
      <colorScale>
        <cfvo type="min"/>
        <cfvo type="max"/>
        <color rgb="FF63BE7B"/>
        <color rgb="FFFFEF9C"/>
      </colorScale>
    </cfRule>
  </conditionalFormatting>
  <conditionalFormatting sqref="DJ35:DN37">
    <cfRule type="colorScale" priority="72">
      <colorScale>
        <cfvo type="min"/>
        <cfvo type="max"/>
        <color rgb="FF63BE7B"/>
        <color rgb="FFFFEF9C"/>
      </colorScale>
    </cfRule>
  </conditionalFormatting>
  <conditionalFormatting sqref="DO30:DS34">
    <cfRule type="colorScale" priority="69">
      <colorScale>
        <cfvo type="min"/>
        <cfvo type="max"/>
        <color rgb="FF63BE7B"/>
        <color rgb="FFFFEF9C"/>
      </colorScale>
    </cfRule>
  </conditionalFormatting>
  <conditionalFormatting sqref="DO35:DS37">
    <cfRule type="colorScale" priority="70">
      <colorScale>
        <cfvo type="min"/>
        <cfvo type="max"/>
        <color rgb="FF63BE7B"/>
        <color rgb="FFFFEF9C"/>
      </colorScale>
    </cfRule>
  </conditionalFormatting>
  <conditionalFormatting sqref="DJ39:DN39">
    <cfRule type="colorScale" priority="68">
      <colorScale>
        <cfvo type="min"/>
        <cfvo type="max"/>
        <color rgb="FF63BE7B"/>
        <color rgb="FFFFEF9C"/>
      </colorScale>
    </cfRule>
  </conditionalFormatting>
  <conditionalFormatting sqref="DO39:DS39">
    <cfRule type="colorScale" priority="67">
      <colorScale>
        <cfvo type="min"/>
        <cfvo type="max"/>
        <color rgb="FF63BE7B"/>
        <color rgb="FFFFEF9C"/>
      </colorScale>
    </cfRule>
  </conditionalFormatting>
  <conditionalFormatting sqref="CQ15:CU25">
    <cfRule type="colorScale" priority="66">
      <colorScale>
        <cfvo type="min"/>
        <cfvo type="max"/>
        <color rgb="FF63BE7B"/>
        <color rgb="FFFFEF9C"/>
      </colorScale>
    </cfRule>
  </conditionalFormatting>
  <conditionalFormatting sqref="CQ15:CU25">
    <cfRule type="colorScale" priority="6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2:CU12">
    <cfRule type="colorScale" priority="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61">
      <colorScale>
        <cfvo type="min"/>
        <cfvo type="max"/>
        <color rgb="FF63BE7B"/>
        <color rgb="FFFFEF9C"/>
      </colorScale>
    </cfRule>
  </conditionalFormatting>
  <conditionalFormatting sqref="BH15:BR25">
    <cfRule type="colorScale" priority="293">
      <colorScale>
        <cfvo type="min"/>
        <cfvo type="max"/>
        <color rgb="FF63BE7B"/>
        <color rgb="FFFFEF9C"/>
      </colorScale>
    </cfRule>
  </conditionalFormatting>
  <conditionalFormatting sqref="BZ15:CJ25">
    <cfRule type="colorScale" priority="294">
      <colorScale>
        <cfvo type="min"/>
        <cfvo type="max"/>
        <color rgb="FF63BE7B"/>
        <color rgb="FFFFEF9C"/>
      </colorScale>
    </cfRule>
  </conditionalFormatting>
  <conditionalFormatting sqref="BH26:BR26">
    <cfRule type="colorScale" priority="300">
      <colorScale>
        <cfvo type="min"/>
        <cfvo type="max"/>
        <color rgb="FF63BE7B"/>
        <color rgb="FFFFEF9C"/>
      </colorScale>
    </cfRule>
  </conditionalFormatting>
  <conditionalFormatting sqref="BS28:BX39">
    <cfRule type="colorScale" priority="49">
      <colorScale>
        <cfvo type="min"/>
        <cfvo type="max"/>
        <color rgb="FF63BE7B"/>
        <color rgb="FFFFEF9C"/>
      </colorScale>
    </cfRule>
  </conditionalFormatting>
  <conditionalFormatting sqref="BH28:BR39">
    <cfRule type="colorScale" priority="50">
      <colorScale>
        <cfvo type="min"/>
        <cfvo type="max"/>
        <color rgb="FF63BE7B"/>
        <color rgb="FFFFEF9C"/>
      </colorScale>
    </cfRule>
  </conditionalFormatting>
  <conditionalFormatting sqref="BS28:BW39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39:CC39">
    <cfRule type="colorScale" priority="45">
      <colorScale>
        <cfvo type="min"/>
        <cfvo type="max"/>
        <color rgb="FF63BE7B"/>
        <color rgb="FFFFEF9C"/>
      </colorScale>
    </cfRule>
  </conditionalFormatting>
  <conditionalFormatting sqref="BY39:CC39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39:CI39 CK28:CU38">
    <cfRule type="colorScale" priority="43">
      <colorScale>
        <cfvo type="min"/>
        <cfvo type="max"/>
        <color rgb="FF63BE7B"/>
        <color rgb="FFFFEF9C"/>
      </colorScale>
    </cfRule>
  </conditionalFormatting>
  <conditionalFormatting sqref="CE39:CI39 CK28:CU38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8:CI38">
    <cfRule type="colorScale" priority="51">
      <colorScale>
        <cfvo type="min"/>
        <cfvo type="max"/>
        <color rgb="FF63BE7B"/>
        <color rgb="FFFFEF9C"/>
      </colorScale>
    </cfRule>
  </conditionalFormatting>
  <conditionalFormatting sqref="BY28:CI38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8:CI38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41:CU51">
    <cfRule type="colorScale" priority="40">
      <colorScale>
        <cfvo type="min"/>
        <cfvo type="max"/>
        <color rgb="FF63BE7B"/>
        <color rgb="FFFFEF9C"/>
      </colorScale>
    </cfRule>
  </conditionalFormatting>
  <conditionalFormatting sqref="CQ41:CU51">
    <cfRule type="colorScale" priority="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28:CU38"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8">
      <colorScale>
        <cfvo type="min"/>
        <cfvo type="max"/>
        <color rgb="FF63BE7B"/>
        <color rgb="FFFFEF9C"/>
      </colorScale>
    </cfRule>
  </conditionalFormatting>
  <conditionalFormatting sqref="BH41:BR51">
    <cfRule type="colorScale" priority="53">
      <colorScale>
        <cfvo type="min"/>
        <cfvo type="max"/>
        <color rgb="FF63BE7B"/>
        <color rgb="FFFFEF9C"/>
      </colorScale>
    </cfRule>
  </conditionalFormatting>
  <conditionalFormatting sqref="BZ41:CJ51">
    <cfRule type="colorScale" priority="54">
      <colorScale>
        <cfvo type="min"/>
        <cfvo type="max"/>
        <color rgb="FF63BE7B"/>
        <color rgb="FFFFEF9C"/>
      </colorScale>
    </cfRule>
  </conditionalFormatting>
  <conditionalFormatting sqref="BS15:BW25">
    <cfRule type="colorScale" priority="36">
      <colorScale>
        <cfvo type="min"/>
        <cfvo type="max"/>
        <color rgb="FF63BE7B"/>
        <color rgb="FFFFEF9C"/>
      </colorScale>
    </cfRule>
  </conditionalFormatting>
  <conditionalFormatting sqref="BS15:BW25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15:CO25">
    <cfRule type="colorScale" priority="34">
      <colorScale>
        <cfvo type="min"/>
        <cfvo type="max"/>
        <color rgb="FF63BE7B"/>
        <color rgb="FFFFEF9C"/>
      </colorScale>
    </cfRule>
  </conditionalFormatting>
  <conditionalFormatting sqref="CK15:CO25"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41:BW51">
    <cfRule type="colorScale" priority="32">
      <colorScale>
        <cfvo type="min"/>
        <cfvo type="max"/>
        <color rgb="FF63BE7B"/>
        <color rgb="FFFFEF9C"/>
      </colorScale>
    </cfRule>
  </conditionalFormatting>
  <conditionalFormatting sqref="BS41:BW51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41:CO51">
    <cfRule type="colorScale" priority="30">
      <colorScale>
        <cfvo type="min"/>
        <cfvo type="max"/>
        <color rgb="FF63BE7B"/>
        <color rgb="FFFFEF9C"/>
      </colorScale>
    </cfRule>
  </conditionalFormatting>
  <conditionalFormatting sqref="CK41:CO51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H3:DI6 DC2:DI2 DC3:DG12">
    <cfRule type="colorScale" priority="309">
      <colorScale>
        <cfvo type="min"/>
        <cfvo type="max"/>
        <color rgb="FF63BE7B"/>
        <color rgb="FFFFEF9C"/>
      </colorScale>
    </cfRule>
  </conditionalFormatting>
  <conditionalFormatting sqref="DH3:DI6 CX3:DB19 CX2:DI2 DC3:DG12">
    <cfRule type="colorScale" priority="3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X2:DG12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6:CC26">
    <cfRule type="colorScale" priority="317">
      <colorScale>
        <cfvo type="min"/>
        <cfvo type="max"/>
        <color rgb="FF63BE7B"/>
        <color rgb="FFFFEF9C"/>
      </colorScale>
    </cfRule>
  </conditionalFormatting>
  <conditionalFormatting sqref="BX15:BX25">
    <cfRule type="colorScale" priority="318">
      <colorScale>
        <cfvo type="min"/>
        <cfvo type="max"/>
        <color rgb="FF63BE7B"/>
        <color rgb="FFFFEF9C"/>
      </colorScale>
    </cfRule>
  </conditionalFormatting>
  <conditionalFormatting sqref="BX41:BX51">
    <cfRule type="colorScale" priority="321">
      <colorScale>
        <cfvo type="min"/>
        <cfvo type="max"/>
        <color rgb="FF63BE7B"/>
        <color rgb="FFFFEF9C"/>
      </colorScale>
    </cfRule>
  </conditionalFormatting>
  <conditionalFormatting sqref="DU7:DY12">
    <cfRule type="colorScale" priority="27">
      <colorScale>
        <cfvo type="min"/>
        <cfvo type="max"/>
        <color rgb="FF63BE7B"/>
        <color rgb="FFFFEF9C"/>
      </colorScale>
    </cfRule>
  </conditionalFormatting>
  <conditionalFormatting sqref="DZ7:ED12">
    <cfRule type="colorScale" priority="26">
      <colorScale>
        <cfvo type="min"/>
        <cfvo type="max"/>
        <color rgb="FF63BE7B"/>
        <color rgb="FFFFEF9C"/>
      </colorScale>
    </cfRule>
  </conditionalFormatting>
  <conditionalFormatting sqref="DU7:ED12"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U7:ED12"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U21:DY26">
    <cfRule type="colorScale" priority="23">
      <colorScale>
        <cfvo type="min"/>
        <cfvo type="max"/>
        <color rgb="FF63BE7B"/>
        <color rgb="FFFFEF9C"/>
      </colorScale>
    </cfRule>
  </conditionalFormatting>
  <conditionalFormatting sqref="DZ21:ED26">
    <cfRule type="colorScale" priority="22">
      <colorScale>
        <cfvo type="min"/>
        <cfvo type="max"/>
        <color rgb="FF63BE7B"/>
        <color rgb="FFFFEF9C"/>
      </colorScale>
    </cfRule>
  </conditionalFormatting>
  <conditionalFormatting sqref="DU21:ED26">
    <cfRule type="colorScale" priority="2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U21:ED2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U30:DY34">
    <cfRule type="colorScale" priority="19">
      <colorScale>
        <cfvo type="min"/>
        <cfvo type="max"/>
        <color rgb="FF63BE7B"/>
        <color rgb="FFFFEF9C"/>
      </colorScale>
    </cfRule>
  </conditionalFormatting>
  <conditionalFormatting sqref="DZ30:EB34">
    <cfRule type="colorScale" priority="18">
      <colorScale>
        <cfvo type="min"/>
        <cfvo type="max"/>
        <color rgb="FF63BE7B"/>
        <color rgb="FFFFEF9C"/>
      </colorScale>
    </cfRule>
  </conditionalFormatting>
  <conditionalFormatting sqref="DU30:EB34">
    <cfRule type="colorScale" priority="1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U30:EB34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U35:DY40">
    <cfRule type="colorScale" priority="15">
      <colorScale>
        <cfvo type="min"/>
        <cfvo type="max"/>
        <color rgb="FF63BE7B"/>
        <color rgb="FFFFEF9C"/>
      </colorScale>
    </cfRule>
  </conditionalFormatting>
  <conditionalFormatting sqref="DZ35:EB40">
    <cfRule type="colorScale" priority="14">
      <colorScale>
        <cfvo type="min"/>
        <cfvo type="max"/>
        <color rgb="FF63BE7B"/>
        <color rgb="FFFFEF9C"/>
      </colorScale>
    </cfRule>
  </conditionalFormatting>
  <conditionalFormatting sqref="DU35:EB40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U35:EB40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F30:EO30 EF31:EM40">
    <cfRule type="colorScale" priority="11">
      <colorScale>
        <cfvo type="min"/>
        <cfvo type="max"/>
        <color rgb="FF63BE7B"/>
        <color rgb="FFFFEF9C"/>
      </colorScale>
    </cfRule>
  </conditionalFormatting>
  <conditionalFormatting sqref="EF30:EO30 EF31:EM40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F30:EO30 EF31:EM40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F43:EM43">
    <cfRule type="colorScale" priority="3">
      <colorScale>
        <cfvo type="min"/>
        <cfvo type="max"/>
        <color rgb="FF63BE7B"/>
        <color rgb="FFFFEF9C"/>
      </colorScale>
    </cfRule>
  </conditionalFormatting>
  <conditionalFormatting sqref="EF43:EM43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F43:EM4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00.miniBert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宋義 蒋</dc:creator>
  <cp:lastModifiedBy>宋義 蒋</cp:lastModifiedBy>
  <dcterms:created xsi:type="dcterms:W3CDTF">2025-12-09T12:58:51Z</dcterms:created>
  <dcterms:modified xsi:type="dcterms:W3CDTF">2025-12-31T13:10:21Z</dcterms:modified>
</cp:coreProperties>
</file>